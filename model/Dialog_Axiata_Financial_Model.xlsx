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4" autoFilterDateGrouping="1"/>
  </bookViews>
  <sheets>
    <sheet name="Assumptions" sheetId="1" state="visible" r:id="rId1"/>
    <sheet name="Income Statement" sheetId="2" state="visible" r:id="rId2"/>
    <sheet name="Ratio Analysis" sheetId="3" state="visible" r:id="rId3"/>
    <sheet name="DCF Valuation" sheetId="4" state="visible" r:id="rId4"/>
    <sheet name="Revenue Waterfall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\x"/>
    <numFmt numFmtId="167" formatCode="0.00\x"/>
  </numFmts>
  <fonts count="26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FFFFFF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1"/>
    </font>
    <font>
      <name val="Arial"/>
      <charset val="1"/>
      <color rgb="FF000000"/>
      <sz val="10"/>
    </font>
    <font>
      <name val="Arial"/>
      <charset val="1"/>
      <color rgb="FF0000FF"/>
      <sz val="10"/>
    </font>
    <font>
      <name val="Arial"/>
      <charset val="1"/>
      <b val="1"/>
      <color rgb="FF000000"/>
      <sz val="10"/>
    </font>
    <font>
      <name val="Arial"/>
      <charset val="1"/>
      <color rgb="FFC00000"/>
      <sz val="10"/>
    </font>
    <font>
      <name val="Arial"/>
      <charset val="1"/>
      <i val="1"/>
      <color rgb="FF666666"/>
      <sz val="8"/>
    </font>
    <font>
      <name val="Arial"/>
      <charset val="1"/>
      <b val="1"/>
      <color rgb="FF0000FF"/>
      <sz val="10"/>
    </font>
    <font>
      <name val="Arial"/>
      <charset val="1"/>
      <color rgb="FF0000FF"/>
      <sz val="9"/>
    </font>
    <font>
      <name val="Arial"/>
      <charset val="1"/>
      <color rgb="FF000000"/>
      <sz val="9"/>
    </font>
    <font>
      <name val="Arial"/>
      <charset val="1"/>
      <color rgb="FF006400"/>
      <sz val="9"/>
    </font>
    <font>
      <name val="Arial"/>
      <charset val="1"/>
      <b val="1"/>
      <color rgb="FFFFFFFF"/>
      <sz val="13"/>
    </font>
    <font>
      <name val="Arial"/>
      <charset val="1"/>
      <i val="1"/>
      <color rgb="FF888888"/>
      <sz val="8"/>
    </font>
    <font>
      <name val="Arial"/>
      <charset val="1"/>
      <b val="1"/>
      <color rgb="FF006400"/>
      <sz val="10"/>
    </font>
    <font>
      <name val="Arial"/>
      <charset val="1"/>
      <color rgb="FF888888"/>
      <sz val="10"/>
    </font>
    <font>
      <name val="Arial"/>
      <charset val="1"/>
      <b val="1"/>
      <color rgb="FF7F0000"/>
      <sz val="9"/>
    </font>
    <font>
      <name val="Arial"/>
      <charset val="1"/>
      <i val="1"/>
      <color rgb="FF555555"/>
      <sz val="8"/>
    </font>
    <font>
      <name val="Arial"/>
      <charset val="1"/>
      <b val="1"/>
      <color rgb="FF000080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C00000"/>
      <sz val="10"/>
    </font>
    <font>
      <name val="Arial"/>
      <charset val="1"/>
      <b val="1"/>
      <color rgb="FFFFFFFF"/>
      <sz val="9"/>
    </font>
    <font>
      <name val="Arial"/>
      <charset val="1"/>
      <i val="1"/>
      <color rgb="FF7F0000"/>
      <sz val="8"/>
    </font>
    <font>
      <name val="Arial"/>
      <charset val="1"/>
      <i val="1"/>
      <color rgb="FF1F3864"/>
      <sz val="9"/>
    </font>
  </fonts>
  <fills count="11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4472C4"/>
      </patternFill>
    </fill>
    <fill>
      <patternFill patternType="solid">
        <fgColor rgb="FF4472C4"/>
        <bgColor rgb="FF2E5FA3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2CC"/>
      </patternFill>
    </fill>
    <fill>
      <patternFill patternType="solid">
        <fgColor rgb="FFFFD966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FFD7D7"/>
        <bgColor rgb="FFFFF2CC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C00000"/>
      </left>
      <right/>
      <top style="thin">
        <color rgb="FFAAAAAA"/>
      </top>
      <bottom style="thin">
        <color rgb="FFAAAAAA"/>
      </bottom>
      <diagonal/>
    </border>
    <border>
      <left style="medium">
        <color rgb="FF2E5FA3"/>
      </left>
      <right/>
      <top/>
      <bottom/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0" borderId="0" pivotButton="0" quotePrefix="0" xfId="0"/>
    <xf numFmtId="0" fontId="5" fillId="5" borderId="1" applyAlignment="1" pivotButton="0" quotePrefix="0" xfId="0">
      <alignment horizontal="left" vertical="center" indent="1"/>
    </xf>
    <xf numFmtId="164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indent="1"/>
    </xf>
    <xf numFmtId="164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indent="1"/>
    </xf>
    <xf numFmtId="164" fontId="7" fillId="7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indent="1"/>
    </xf>
    <xf numFmtId="165" fontId="7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indent="1"/>
    </xf>
    <xf numFmtId="165" fontId="0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15" fillId="6" borderId="1" applyAlignment="1" pivotButton="0" quotePrefix="0" xfId="0">
      <alignment horizontal="left" vertical="center" indent="1"/>
    </xf>
    <xf numFmtId="0" fontId="16" fillId="7" borderId="1" applyAlignment="1" pivotButton="0" quotePrefix="0" xfId="0">
      <alignment horizontal="left" vertical="center" indent="1"/>
    </xf>
    <xf numFmtId="0" fontId="15" fillId="7" borderId="1" applyAlignment="1" pivotButton="0" quotePrefix="0" xfId="0">
      <alignment horizontal="left" vertical="center" indent="1"/>
    </xf>
    <xf numFmtId="165" fontId="17" fillId="5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vertical="center" indent="1"/>
    </xf>
    <xf numFmtId="165" fontId="8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inden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165" fontId="10" fillId="8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3" fillId="4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center" vertical="center" wrapText="1"/>
    </xf>
    <xf numFmtId="164" fontId="17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5" fontId="17" fillId="5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165" fontId="10" fillId="8" borderId="2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indent="1"/>
    </xf>
    <xf numFmtId="166" fontId="10" fillId="8" borderId="2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indent="1"/>
    </xf>
    <xf numFmtId="0" fontId="12" fillId="7" borderId="0" applyAlignment="1" pivotButton="0" quotePrefix="0" xfId="0">
      <alignment horizontal="left" vertical="center" indent="1"/>
    </xf>
    <xf numFmtId="0" fontId="13" fillId="6" borderId="0" applyAlignment="1" pivotButton="0" quotePrefix="0" xfId="0">
      <alignment horizontal="left" vertical="center" indent="1"/>
    </xf>
    <xf numFmtId="0" fontId="14" fillId="2" borderId="0" applyAlignment="1" pivotButton="0" quotePrefix="0" xfId="0">
      <alignment horizontal="center" vertical="center" wrapText="1"/>
    </xf>
    <xf numFmtId="0" fontId="18" fillId="9" borderId="3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164" fontId="5" fillId="6" borderId="2" applyAlignment="1" pivotButton="0" quotePrefix="0" xfId="0">
      <alignment horizontal="center" vertical="center" wrapText="1"/>
    </xf>
    <xf numFmtId="164" fontId="7" fillId="5" borderId="2" applyAlignment="1" pivotButton="0" quotePrefix="0" xfId="0">
      <alignment horizontal="center" vertical="center" wrapText="1"/>
    </xf>
    <xf numFmtId="0" fontId="24" fillId="9" borderId="0" applyAlignment="1" pivotButton="0" quotePrefix="0" xfId="0">
      <alignment horizontal="left" vertical="center" wrapText="1" indent="1"/>
    </xf>
    <xf numFmtId="164" fontId="7" fillId="7" borderId="2" applyAlignment="1" pivotButton="0" quotePrefix="0" xfId="0">
      <alignment horizontal="center" vertical="center" wrapText="1"/>
    </xf>
    <xf numFmtId="2" fontId="7" fillId="6" borderId="2" applyAlignment="1" pivotButton="0" quotePrefix="0" xfId="0">
      <alignment horizontal="center" vertical="center" wrapText="1"/>
    </xf>
    <xf numFmtId="0" fontId="25" fillId="5" borderId="4" applyAlignment="1" pivotButton="0" quotePrefix="0" xfId="0">
      <alignment horizontal="left" vertical="center" wrapText="1" indent="1"/>
    </xf>
    <xf numFmtId="0" fontId="0" fillId="0" borderId="6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F0000"/>
      <rgbColor rgb="FF0064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7D7"/>
      <rgbColor rgb="FF99CCFF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8" defaultColWidth="8.6640625" defaultRowHeight="14.4"/>
  <cols>
    <col width="38" customWidth="1" style="1" min="1" max="1"/>
    <col width="14" customWidth="1" style="1" min="2" max="6"/>
  </cols>
  <sheetData>
    <row r="1" ht="30" customHeight="1" s="1">
      <c r="A1" s="42" t="inlineStr">
        <is>
          <t>DIALOG AXIATA PLC  |  Financial Due Diligence Model  |  FY2020–FY2024</t>
        </is>
      </c>
    </row>
    <row r="2" ht="18" customHeight="1" s="1">
      <c r="A2" s="43" t="inlineStr">
        <is>
          <t>ASSUMPTIONS &amp; SOURCE DATA TAB  —  Blue cells are hardcoded inputs sourced directly from Dialog Axiata Annual Reports 2020–2024</t>
        </is>
      </c>
    </row>
    <row r="3" ht="19.5" customHeight="1" s="1">
      <c r="A3" s="44" t="inlineStr">
        <is>
          <t>Line Item</t>
        </is>
      </c>
      <c r="B3" s="45" t="inlineStr">
        <is>
          <t>2020</t>
        </is>
      </c>
      <c r="C3" s="45" t="inlineStr">
        <is>
          <t>2021</t>
        </is>
      </c>
      <c r="D3" s="45" t="inlineStr">
        <is>
          <t>2022</t>
        </is>
      </c>
      <c r="E3" s="45" t="inlineStr">
        <is>
          <t>2023</t>
        </is>
      </c>
      <c r="F3" s="45" t="inlineStr">
        <is>
          <t>2024</t>
        </is>
      </c>
    </row>
    <row r="4" ht="3.75" customHeight="1" s="1"/>
    <row r="5" ht="18" customHeight="1" s="1">
      <c r="A5" s="46" t="inlineStr">
        <is>
          <t>A.  INCOME STATEMENT  (LKR Millions)</t>
        </is>
      </c>
    </row>
    <row r="6" ht="15" customHeight="1" s="1">
      <c r="A6" s="2" t="inlineStr">
        <is>
          <t>Revenue</t>
        </is>
      </c>
      <c r="B6" s="3" t="n">
        <v>120142</v>
      </c>
      <c r="C6" s="3" t="n">
        <v>141915</v>
      </c>
      <c r="D6" s="3" t="n">
        <v>178131</v>
      </c>
      <c r="E6" s="3" t="n">
        <v>187813</v>
      </c>
      <c r="F6" s="3" t="n">
        <v>171170</v>
      </c>
    </row>
    <row r="7" ht="15" customHeight="1" s="1">
      <c r="A7" s="4" t="inlineStr">
        <is>
          <t>Operating Profit (EBIT)</t>
        </is>
      </c>
      <c r="B7" s="5" t="n">
        <v>16683</v>
      </c>
      <c r="C7" s="5" t="n">
        <v>23440</v>
      </c>
      <c r="D7" s="5" t="n">
        <v>2568</v>
      </c>
      <c r="E7" s="5" t="n">
        <v>20874</v>
      </c>
      <c r="F7" s="5" t="n">
        <v>20779</v>
      </c>
    </row>
    <row r="8" ht="15" customHeight="1" s="1">
      <c r="A8" s="2" t="inlineStr">
        <is>
          <t>D&amp;A</t>
        </is>
      </c>
      <c r="B8" s="3" t="n">
        <v>34538</v>
      </c>
      <c r="C8" s="3" t="n">
        <v>35782</v>
      </c>
      <c r="D8" s="3" t="n">
        <v>41095</v>
      </c>
      <c r="E8" s="3" t="n">
        <v>41044</v>
      </c>
      <c r="F8" s="3" t="n">
        <v>45497</v>
      </c>
    </row>
    <row r="9" ht="15" customHeight="1" s="1">
      <c r="A9" s="6" t="inlineStr">
        <is>
          <t>EBITDA</t>
        </is>
      </c>
      <c r="B9" s="7">
        <f>B7+B8</f>
        <v/>
      </c>
      <c r="C9" s="7">
        <f>C7+C8</f>
        <v/>
      </c>
      <c r="D9" s="7">
        <f>D7+D8</f>
        <v/>
      </c>
      <c r="E9" s="7">
        <f>E7+E8</f>
        <v/>
      </c>
      <c r="F9" s="7">
        <f>F7+F8</f>
        <v/>
      </c>
    </row>
    <row r="10" ht="15" customHeight="1" s="1">
      <c r="A10" s="2" t="inlineStr">
        <is>
          <t>Net Profit / (Loss)</t>
        </is>
      </c>
      <c r="B10" s="3" t="n">
        <v>12003</v>
      </c>
      <c r="C10" s="3" t="n">
        <v>17019</v>
      </c>
      <c r="D10" s="8" t="n">
        <v>-33409</v>
      </c>
      <c r="E10" s="3" t="n">
        <v>20113</v>
      </c>
      <c r="F10" s="3" t="n">
        <v>12435</v>
      </c>
    </row>
    <row r="11" ht="15" customHeight="1" s="1">
      <c r="A11" s="47" t="inlineStr">
        <is>
          <t>Source: Dialog Axiata PLC Annual Reports 2020–2024 · Statement of Comprehensive Income (Group) · PDF pages verified</t>
        </is>
      </c>
    </row>
    <row r="12"/>
    <row r="13" ht="18" customHeight="1" s="1">
      <c r="A13" s="46" t="inlineStr">
        <is>
          <t>B.  BALANCE SHEET  (LKR Millions)</t>
        </is>
      </c>
    </row>
    <row r="14" ht="15" customHeight="1" s="1">
      <c r="A14" s="2" t="inlineStr">
        <is>
          <t>Total Assets</t>
        </is>
      </c>
      <c r="B14" s="3" t="n">
        <v>187693</v>
      </c>
      <c r="C14" s="3" t="n">
        <v>219000</v>
      </c>
      <c r="D14" s="3" t="n">
        <v>267150</v>
      </c>
      <c r="E14" s="3" t="n">
        <v>286247</v>
      </c>
      <c r="F14" s="3" t="n">
        <v>309147</v>
      </c>
    </row>
    <row r="15" ht="15" customHeight="1" s="1">
      <c r="A15" s="4" t="inlineStr">
        <is>
          <t>Total Equity</t>
        </is>
      </c>
      <c r="B15" s="5" t="n">
        <v>82203</v>
      </c>
      <c r="C15" s="5" t="n">
        <v>93515</v>
      </c>
      <c r="D15" s="5" t="n">
        <v>45150</v>
      </c>
      <c r="E15" s="5" t="n">
        <v>66337</v>
      </c>
      <c r="F15" s="5" t="n">
        <v>78280</v>
      </c>
    </row>
    <row r="16" ht="15" customHeight="1" s="1">
      <c r="A16" s="2" t="inlineStr">
        <is>
          <t>Total Debt</t>
        </is>
      </c>
      <c r="B16" s="3" t="n">
        <v>40426</v>
      </c>
      <c r="C16" s="3" t="n">
        <v>41836</v>
      </c>
      <c r="D16" s="3" t="n">
        <v>103590</v>
      </c>
      <c r="E16" s="3" t="n">
        <v>122765</v>
      </c>
      <c r="F16" s="3" t="n">
        <v>107694</v>
      </c>
    </row>
    <row r="17" ht="15" customHeight="1" s="1">
      <c r="A17" s="4" t="inlineStr">
        <is>
          <t>Cash &amp; Equivalents</t>
        </is>
      </c>
      <c r="B17" s="5" t="n">
        <v>16660</v>
      </c>
      <c r="C17" s="5" t="n">
        <v>22079</v>
      </c>
      <c r="D17" s="5" t="n">
        <v>40547</v>
      </c>
      <c r="E17" s="5" t="n">
        <v>40613</v>
      </c>
      <c r="F17" s="5" t="n">
        <v>33786</v>
      </c>
    </row>
    <row r="18" ht="15" customHeight="1" s="1">
      <c r="A18" s="2" t="inlineStr">
        <is>
          <t>Net Debt</t>
        </is>
      </c>
      <c r="B18" s="7">
        <f>B16-B17</f>
        <v/>
      </c>
      <c r="C18" s="7">
        <f>C16-C17</f>
        <v/>
      </c>
      <c r="D18" s="7">
        <f>D16-D17</f>
        <v/>
      </c>
      <c r="E18" s="7">
        <f>E16-E17</f>
        <v/>
      </c>
      <c r="F18" s="7">
        <f>F16-F17</f>
        <v/>
      </c>
    </row>
    <row r="19" ht="15" customHeight="1" s="1">
      <c r="A19" s="47" t="inlineStr">
        <is>
          <t>Source: Dialog Axiata PLC Annual Reports 2020–2024 · Statement of Financial Position (Group) · PDF pages verified</t>
        </is>
      </c>
    </row>
    <row r="20"/>
    <row r="21" ht="18" customHeight="1" s="1">
      <c r="A21" s="46" t="inlineStr">
        <is>
          <t>C.  MODEL ASSUMPTIONS  (for Ratio &amp; Scenario tabs)</t>
        </is>
      </c>
    </row>
    <row r="22" ht="15" customHeight="1" s="1">
      <c r="A22" s="2" t="inlineStr">
        <is>
          <t>Tax Rate (assumed)</t>
        </is>
      </c>
      <c r="B22" s="48" t="n">
        <v>0.3</v>
      </c>
      <c r="C22" s="66" t="n"/>
    </row>
    <row r="23" ht="15" customHeight="1" s="1">
      <c r="A23" s="4" t="inlineStr">
        <is>
          <t>WACC — Base case</t>
        </is>
      </c>
      <c r="B23" s="48" t="n">
        <v>0.12</v>
      </c>
      <c r="C23" s="66" t="n"/>
    </row>
    <row r="24" ht="15" customHeight="1" s="1">
      <c r="A24" s="2" t="inlineStr">
        <is>
          <t>WACC — Bull case</t>
        </is>
      </c>
      <c r="B24" s="48" t="n">
        <v>0.1</v>
      </c>
      <c r="C24" s="66" t="n"/>
    </row>
    <row r="25" ht="15" customHeight="1" s="1">
      <c r="A25" s="4" t="inlineStr">
        <is>
          <t>WACC — Bear case</t>
        </is>
      </c>
      <c r="B25" s="48" t="n">
        <v>0.14</v>
      </c>
      <c r="C25" s="66" t="n"/>
    </row>
    <row r="26" ht="15" customHeight="1" s="1">
      <c r="A26" s="2" t="inlineStr">
        <is>
          <t>Terminal Growth Rate</t>
        </is>
      </c>
      <c r="B26" s="48" t="n">
        <v>0.03</v>
      </c>
      <c r="C26" s="66" t="n"/>
    </row>
    <row r="27" ht="15" customHeight="1" s="1">
      <c r="A27" s="4" t="inlineStr">
        <is>
          <t>EV/EBITDA Peer Median</t>
        </is>
      </c>
      <c r="B27" s="50" t="n">
        <v>6.5</v>
      </c>
      <c r="C27" s="66" t="n"/>
    </row>
    <row r="28"/>
    <row r="29" ht="15" customHeight="1" s="1">
      <c r="A29" s="44" t="inlineStr">
        <is>
          <t>COLOUR LEGEND</t>
        </is>
      </c>
    </row>
    <row r="30" ht="15" customHeight="1" s="1">
      <c r="A30" s="51" t="inlineStr">
        <is>
          <t>Blue text = Hardcoded input (sourced from annual reports)</t>
        </is>
      </c>
    </row>
    <row r="31" ht="15" customHeight="1" s="1">
      <c r="A31" s="52" t="inlineStr">
        <is>
          <t>Black text / orange bg = Calculated formula</t>
        </is>
      </c>
    </row>
    <row r="32" ht="15" customHeight="1" s="1">
      <c r="A32" s="53" t="inlineStr">
        <is>
          <t>Green text = Cross-sheet link</t>
        </is>
      </c>
    </row>
    <row r="33" ht="15" customHeight="1" s="1">
      <c r="A33" s="49" t="inlineStr">
        <is>
          <t>Yellow bg = Key assumption — change for scenarios</t>
        </is>
      </c>
    </row>
    <row r="34">
      <c r="A34" t="n">
        <v>66276</v>
      </c>
      <c r="B34" t="n">
        <v>38.7</v>
      </c>
      <c r="C34" t="n">
        <v>24.5</v>
      </c>
      <c r="D34" t="n">
        <v>-18.8</v>
      </c>
      <c r="E34" t="n">
        <v>171.2</v>
      </c>
      <c r="F34" t="n">
        <v>1.38</v>
      </c>
    </row>
    <row r="35">
      <c r="A35" t="n">
        <v>66276</v>
      </c>
    </row>
  </sheetData>
  <mergeCells count="24">
    <mergeCell ref="B25:C25"/>
    <mergeCell ref="B3:B4"/>
    <mergeCell ref="F3:F4"/>
    <mergeCell ref="B22:C22"/>
    <mergeCell ref="B27:C27"/>
    <mergeCell ref="A21:F21"/>
    <mergeCell ref="A33:F33"/>
    <mergeCell ref="A2:F2"/>
    <mergeCell ref="A5:F5"/>
    <mergeCell ref="A3:A4"/>
    <mergeCell ref="A32:F32"/>
    <mergeCell ref="B23:C23"/>
    <mergeCell ref="D3:D4"/>
    <mergeCell ref="A29:F29"/>
    <mergeCell ref="A13:F13"/>
    <mergeCell ref="A19:F19"/>
    <mergeCell ref="A31:F31"/>
    <mergeCell ref="A30:F30"/>
    <mergeCell ref="A11:F11"/>
    <mergeCell ref="B24:C24"/>
    <mergeCell ref="C3:C4"/>
    <mergeCell ref="A1:F1"/>
    <mergeCell ref="E3:E4"/>
    <mergeCell ref="B26:C2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7" sqref="M7"/>
    </sheetView>
  </sheetViews>
  <sheetFormatPr baseColWidth="8" defaultColWidth="8.6640625" defaultRowHeight="14.4"/>
  <cols>
    <col width="36" customWidth="1" style="1" min="1" max="1"/>
    <col width="13" customWidth="1" style="1" min="2" max="7"/>
    <col width="20" bestFit="1" customWidth="1" style="1" min="8" max="8"/>
  </cols>
  <sheetData>
    <row r="1" ht="27.75" customHeight="1" s="1">
      <c r="A1" s="54" t="inlineStr">
        <is>
          <t>DIALOG AXIATA PLC  |  Financial Analysis – Income Statement  |  FY2020–FY2024  (LKR Millions)</t>
        </is>
      </c>
    </row>
    <row r="2" ht="15" customHeight="1" s="1">
      <c r="A2" s="43" t="inlineStr">
        <is>
          <t>Group · All figures sourced from Statement of Comprehensive Income in official Annual Reports</t>
        </is>
      </c>
    </row>
    <row r="3" ht="19.5" customHeight="1" s="1">
      <c r="A3" s="9" t="n"/>
      <c r="B3" s="9" t="inlineStr">
        <is>
          <t>2020</t>
        </is>
      </c>
      <c r="C3" s="9" t="inlineStr">
        <is>
          <t>2021</t>
        </is>
      </c>
      <c r="D3" s="9" t="inlineStr">
        <is>
          <t>2022</t>
        </is>
      </c>
      <c r="E3" s="9" t="inlineStr">
        <is>
          <t>2023</t>
        </is>
      </c>
      <c r="F3" s="9" t="inlineStr">
        <is>
          <t>2024</t>
        </is>
      </c>
      <c r="G3" s="9" t="inlineStr">
        <is>
          <t>CAGR 20-24</t>
        </is>
      </c>
      <c r="H3" s="9" t="inlineStr">
        <is>
          <t>Note</t>
        </is>
      </c>
    </row>
    <row r="4" ht="15" customHeight="1" s="1">
      <c r="A4" s="10" t="inlineStr">
        <is>
          <t>Revenue</t>
        </is>
      </c>
      <c r="B4" s="3" t="n">
        <v>120142</v>
      </c>
      <c r="C4" s="3" t="n">
        <v>141915</v>
      </c>
      <c r="D4" s="3" t="n">
        <v>178131</v>
      </c>
      <c r="E4" s="3" t="n">
        <v>187813</v>
      </c>
      <c r="F4" s="3" t="n">
        <v>171170</v>
      </c>
      <c r="G4" s="11">
        <f>(F4/B4)^(1/4)-1</f>
        <v/>
      </c>
      <c r="H4" s="12" t="inlineStr">
        <is>
          <t>Source: SoCI</t>
        </is>
      </c>
    </row>
    <row r="5" ht="15" customHeight="1" s="1">
      <c r="A5" s="2" t="inlineStr">
        <is>
          <t xml:space="preserve">   YoY Growth %</t>
        </is>
      </c>
      <c r="B5" s="13" t="inlineStr">
        <is>
          <t>-</t>
        </is>
      </c>
      <c r="C5" s="14">
        <f>(C4-B4)/B4</f>
        <v/>
      </c>
      <c r="D5" s="14">
        <f>(D4-C4)/C4</f>
        <v/>
      </c>
      <c r="E5" s="14">
        <f>(E4-D4)/D4</f>
        <v/>
      </c>
      <c r="F5" s="14">
        <f>(F4-E4)/E4</f>
        <v/>
      </c>
      <c r="G5" s="15" t="n"/>
      <c r="H5" s="12" t="n"/>
    </row>
    <row r="6" ht="15" customHeight="1" s="1">
      <c r="A6" s="2" t="inlineStr">
        <is>
          <t>Direct Costs</t>
        </is>
      </c>
      <c r="B6" s="3" t="n">
        <v>68498</v>
      </c>
      <c r="C6" s="3" t="n">
        <v>80262</v>
      </c>
      <c r="D6" s="3" t="n">
        <v>117948</v>
      </c>
      <c r="E6" s="3" t="n">
        <v>122054</v>
      </c>
      <c r="F6" s="3" t="n">
        <v>98475</v>
      </c>
      <c r="G6" s="15" t="n"/>
      <c r="H6" s="12" t="inlineStr">
        <is>
          <t>Derived: Rev - Gross Profit</t>
        </is>
      </c>
    </row>
    <row r="7" ht="15" customHeight="1" s="1">
      <c r="A7" s="10" t="inlineStr">
        <is>
          <t>Gross Profit</t>
        </is>
      </c>
      <c r="B7" s="3" t="n">
        <v>51644</v>
      </c>
      <c r="C7" s="3" t="n">
        <v>61653</v>
      </c>
      <c r="D7" s="3" t="n">
        <v>60183</v>
      </c>
      <c r="E7" s="3" t="n">
        <v>65759</v>
      </c>
      <c r="F7" s="3" t="n">
        <v>72695</v>
      </c>
      <c r="G7" s="15" t="n"/>
      <c r="H7" s="12" t="inlineStr">
        <is>
          <t>Source: SoCI</t>
        </is>
      </c>
    </row>
    <row r="8" ht="15" customHeight="1" s="1">
      <c r="A8" s="2" t="inlineStr">
        <is>
          <t xml:space="preserve">   Gross Margin %</t>
        </is>
      </c>
      <c r="B8" s="14">
        <f>B7/B4</f>
        <v/>
      </c>
      <c r="C8" s="14">
        <f>C7/C4</f>
        <v/>
      </c>
      <c r="D8" s="14">
        <f>D7/D4</f>
        <v/>
      </c>
      <c r="E8" s="14">
        <f>E7/E4</f>
        <v/>
      </c>
      <c r="F8" s="14">
        <f>F7/F4</f>
        <v/>
      </c>
      <c r="G8" s="15" t="n"/>
      <c r="H8" s="12" t="n"/>
    </row>
    <row r="9" ht="15" customHeight="1" s="1">
      <c r="A9" s="10" t="inlineStr">
        <is>
          <t>Operating Profit (EBIT)</t>
        </is>
      </c>
      <c r="B9" s="3" t="n">
        <v>16683</v>
      </c>
      <c r="C9" s="3" t="n">
        <v>23440</v>
      </c>
      <c r="D9" s="3" t="n">
        <v>2568</v>
      </c>
      <c r="E9" s="3" t="n">
        <v>20874</v>
      </c>
      <c r="F9" s="3" t="n">
        <v>20779</v>
      </c>
      <c r="G9" s="15" t="n"/>
      <c r="H9" s="12" t="inlineStr">
        <is>
          <t>Source: SoCI</t>
        </is>
      </c>
    </row>
    <row r="10" ht="15" customHeight="1" s="1">
      <c r="A10" s="2" t="inlineStr">
        <is>
          <t xml:space="preserve">   EBIT Margin %</t>
        </is>
      </c>
      <c r="B10" s="14">
        <f>B9/B4</f>
        <v/>
      </c>
      <c r="C10" s="14">
        <f>C9/C4</f>
        <v/>
      </c>
      <c r="D10" s="14">
        <f>D9/D4</f>
        <v/>
      </c>
      <c r="E10" s="14">
        <f>E9/E4</f>
        <v/>
      </c>
      <c r="F10" s="14">
        <f>F9/F4</f>
        <v/>
      </c>
      <c r="G10" s="15" t="n"/>
      <c r="H10" s="12" t="n"/>
    </row>
    <row r="11" ht="15" customHeight="1" s="1">
      <c r="A11" s="4" t="inlineStr">
        <is>
          <t>D&amp;A</t>
        </is>
      </c>
      <c r="B11" s="5" t="n">
        <v>34538</v>
      </c>
      <c r="C11" s="5" t="n">
        <v>35782</v>
      </c>
      <c r="D11" s="5" t="n">
        <v>41095</v>
      </c>
      <c r="E11" s="5" t="n">
        <v>41044</v>
      </c>
      <c r="F11" s="5" t="n">
        <v>45497</v>
      </c>
      <c r="G11" s="15" t="n"/>
      <c r="H11" s="16" t="inlineStr">
        <is>
          <t>Source: Note 33(a) CFS</t>
        </is>
      </c>
    </row>
    <row r="12" ht="15" customHeight="1" s="1">
      <c r="A12" s="17" t="inlineStr">
        <is>
          <t>EBITDA</t>
        </is>
      </c>
      <c r="B12" s="7">
        <f>B9+B11</f>
        <v/>
      </c>
      <c r="C12" s="7">
        <f>C9+C11</f>
        <v/>
      </c>
      <c r="D12" s="7">
        <f>D9+D11</f>
        <v/>
      </c>
      <c r="E12" s="7">
        <f>E9+E11</f>
        <v/>
      </c>
      <c r="F12" s="7">
        <f>F9+F11</f>
        <v/>
      </c>
      <c r="G12" s="11">
        <f>(F12/B12)^(1/4)-1</f>
        <v/>
      </c>
      <c r="H12" s="18" t="inlineStr">
        <is>
          <t>EBIT + D&amp;A</t>
        </is>
      </c>
    </row>
    <row r="13" ht="15" customHeight="1" s="1">
      <c r="A13" s="2" t="inlineStr">
        <is>
          <t xml:space="preserve">   EBITDA Margin %</t>
        </is>
      </c>
      <c r="B13" s="14">
        <f>B12/B4</f>
        <v/>
      </c>
      <c r="C13" s="14">
        <f>C12/C4</f>
        <v/>
      </c>
      <c r="D13" s="14">
        <f>D12/D4</f>
        <v/>
      </c>
      <c r="E13" s="14">
        <f>E12/E4</f>
        <v/>
      </c>
      <c r="F13" s="14">
        <f>F12/F4</f>
        <v/>
      </c>
      <c r="G13" s="15" t="n"/>
      <c r="H13" s="12" t="n"/>
    </row>
    <row r="14" ht="15" customHeight="1" s="1">
      <c r="A14" s="10" t="inlineStr">
        <is>
          <t>Net Profit / (Loss)</t>
        </is>
      </c>
      <c r="B14" s="3" t="n">
        <v>12003</v>
      </c>
      <c r="C14" s="3" t="n">
        <v>17019</v>
      </c>
      <c r="D14" s="8" t="n">
        <v>-33409</v>
      </c>
      <c r="E14" s="3" t="n">
        <v>20113</v>
      </c>
      <c r="F14" s="3" t="n">
        <v>12435</v>
      </c>
      <c r="G14" s="19" t="inlineStr">
        <is>
          <t>N/M</t>
        </is>
      </c>
      <c r="H14" s="12" t="inlineStr">
        <is>
          <t>Source: SoCI</t>
        </is>
      </c>
    </row>
    <row r="15" ht="15" customHeight="1" s="1">
      <c r="A15" s="2" t="inlineStr">
        <is>
          <t xml:space="preserve">   Net Margin %</t>
        </is>
      </c>
      <c r="B15" s="14">
        <f>B14/B4</f>
        <v/>
      </c>
      <c r="C15" s="14">
        <f>C14/C4</f>
        <v/>
      </c>
      <c r="D15" s="14">
        <f>D14/D4</f>
        <v/>
      </c>
      <c r="E15" s="14">
        <f>E14/E4</f>
        <v/>
      </c>
      <c r="F15" s="14">
        <f>F14/F4</f>
        <v/>
      </c>
      <c r="G15" s="15" t="n"/>
      <c r="H15" s="12" t="n"/>
    </row>
    <row r="16"/>
    <row r="17" ht="30" customHeight="1" s="1">
      <c r="A17" s="55" t="inlineStr">
        <is>
          <t>⚠  ANALYST NOTE: 2022 Net Loss of LKR (33,409)Mn was driven by LKR 30,280Mn Net FX losses due to the Sri Lanka economic crisis — NOT operational underperformance. EBITDA remained positive at LKR 43,663Mn.</t>
        </is>
      </c>
      <c r="B17" s="66" t="n"/>
      <c r="C17" s="66" t="n"/>
      <c r="D17" s="66" t="n"/>
      <c r="E17" s="66" t="n"/>
      <c r="F17" s="66" t="n"/>
      <c r="G17" s="66" t="n"/>
      <c r="H17" s="66" t="n"/>
    </row>
    <row r="18">
      <c r="A18" t="n">
        <v>66276</v>
      </c>
      <c r="B18" t="n">
        <v>38.7</v>
      </c>
      <c r="C18" t="n">
        <v>24.5</v>
      </c>
      <c r="D18" t="n">
        <v>-18.8</v>
      </c>
      <c r="E18" t="n">
        <v>171.2</v>
      </c>
      <c r="F18" t="n">
        <v>1.38</v>
      </c>
    </row>
    <row r="19">
      <c r="A19" t="n">
        <v>66276</v>
      </c>
    </row>
  </sheetData>
  <mergeCells count="3">
    <mergeCell ref="A1:H1"/>
    <mergeCell ref="A2:H2"/>
    <mergeCell ref="A17:H1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:G1"/>
    </sheetView>
  </sheetViews>
  <sheetFormatPr baseColWidth="8" defaultColWidth="8.6640625" defaultRowHeight="14.4"/>
  <cols>
    <col width="36" customWidth="1" style="1" min="1" max="1"/>
    <col width="13" customWidth="1" style="1" min="2" max="6"/>
    <col width="18.109375" bestFit="1" customWidth="1" style="1" min="7" max="7"/>
  </cols>
  <sheetData>
    <row r="1" ht="27.75" customHeight="1" s="1">
      <c r="A1" s="54" t="inlineStr">
        <is>
          <t>DIALOG AXIATA PLC  |  Ratio Analysis  |  FY2020–FY2024</t>
        </is>
      </c>
    </row>
    <row r="2" ht="15" customHeight="1" s="1">
      <c r="A2" s="43" t="inlineStr">
        <is>
          <t>All inputs linked from Assumptions tab. Ratios calculated via Excel formulas.</t>
        </is>
      </c>
    </row>
    <row r="3" ht="19.5" customHeight="1" s="1">
      <c r="A3" s="9" t="inlineStr">
        <is>
          <t>Ratio / KPI</t>
        </is>
      </c>
      <c r="B3" s="9" t="inlineStr">
        <is>
          <t>2020</t>
        </is>
      </c>
      <c r="C3" s="9" t="inlineStr">
        <is>
          <t>2021</t>
        </is>
      </c>
      <c r="D3" s="9" t="inlineStr">
        <is>
          <t>2022</t>
        </is>
      </c>
      <c r="E3" s="9" t="inlineStr">
        <is>
          <t>2023</t>
        </is>
      </c>
      <c r="F3" s="9" t="inlineStr">
        <is>
          <t>2024</t>
        </is>
      </c>
      <c r="G3" s="9" t="inlineStr">
        <is>
          <t>Benchmark</t>
        </is>
      </c>
    </row>
    <row r="4" ht="18" customHeight="1" s="1">
      <c r="A4" s="46" t="inlineStr">
        <is>
          <t>PROFITABILITY RATIOS</t>
        </is>
      </c>
    </row>
    <row r="5" ht="15" customHeight="1" s="1">
      <c r="A5" s="4" t="inlineStr">
        <is>
          <t>Gross Margin %</t>
        </is>
      </c>
      <c r="B5" s="20" t="n">
        <v>0.4299</v>
      </c>
      <c r="C5" s="20" t="n">
        <v>0.4344</v>
      </c>
      <c r="D5" s="20" t="n">
        <v>0.3379</v>
      </c>
      <c r="E5" s="20" t="n">
        <v>0.3501</v>
      </c>
      <c r="F5" s="20" t="n">
        <v>0.4247</v>
      </c>
      <c r="G5" s="21" t="inlineStr">
        <is>
          <t>Telecom peers: 30-40%</t>
        </is>
      </c>
    </row>
    <row r="6" ht="15" customHeight="1" s="1">
      <c r="A6" s="2" t="inlineStr">
        <is>
          <t>EBITDA Margin %</t>
        </is>
      </c>
      <c r="B6" s="14" t="n">
        <v>0.4263</v>
      </c>
      <c r="C6" s="14" t="n">
        <v>0.4173</v>
      </c>
      <c r="D6" s="14" t="n">
        <v>0.2451</v>
      </c>
      <c r="E6" s="14" t="n">
        <v>0.3297</v>
      </c>
      <c r="F6" s="14" t="n">
        <v>0.3872</v>
      </c>
      <c r="G6" s="21" t="inlineStr">
        <is>
          <t>Telecom peers: 30-45%</t>
        </is>
      </c>
    </row>
    <row r="7" ht="15" customHeight="1" s="1">
      <c r="A7" s="4" t="inlineStr">
        <is>
          <t>EBIT Margin %</t>
        </is>
      </c>
      <c r="B7" s="20" t="n">
        <v>0.1389</v>
      </c>
      <c r="C7" s="20" t="n">
        <v>0.1652</v>
      </c>
      <c r="D7" s="20" t="n">
        <v>0.0144</v>
      </c>
      <c r="E7" s="20" t="n">
        <v>0.1111</v>
      </c>
      <c r="F7" s="20" t="n">
        <v>0.1214</v>
      </c>
      <c r="G7" s="21" t="inlineStr">
        <is>
          <t>Healthy: &gt;10%</t>
        </is>
      </c>
    </row>
    <row r="8" ht="15" customHeight="1" s="1">
      <c r="A8" s="2" t="inlineStr">
        <is>
          <t>Net Profit Margin %</t>
        </is>
      </c>
      <c r="B8" s="14" t="n">
        <v>0.0999</v>
      </c>
      <c r="C8" s="14" t="n">
        <v>0.1199</v>
      </c>
      <c r="D8" s="22" t="n">
        <v>-0.1876</v>
      </c>
      <c r="E8" s="14" t="n">
        <v>0.1071</v>
      </c>
      <c r="F8" s="14" t="n">
        <v>0.0726</v>
      </c>
      <c r="G8" s="21" t="inlineStr">
        <is>
          <t>Distorted in 2022</t>
        </is>
      </c>
    </row>
    <row r="9" ht="18" customHeight="1" s="1">
      <c r="A9" s="46" t="inlineStr">
        <is>
          <t>LEVERAGE RATIOS</t>
        </is>
      </c>
    </row>
    <row r="10" ht="15" customHeight="1" s="1">
      <c r="A10" s="2" t="inlineStr">
        <is>
          <t>Total Debt (LKR Mn)</t>
        </is>
      </c>
      <c r="B10" s="23" t="n">
        <v>40426</v>
      </c>
      <c r="C10" s="23" t="n">
        <v>41836</v>
      </c>
      <c r="D10" s="23" t="n">
        <v>103590</v>
      </c>
      <c r="E10" s="23" t="n">
        <v>122765</v>
      </c>
      <c r="F10" s="23" t="n">
        <v>107694</v>
      </c>
      <c r="G10" s="21" t="n"/>
    </row>
    <row r="11" ht="15" customHeight="1" s="1">
      <c r="A11" s="4" t="inlineStr">
        <is>
          <t>Total Equity (LKR Mn)</t>
        </is>
      </c>
      <c r="B11" s="24" t="n">
        <v>82203</v>
      </c>
      <c r="C11" s="24" t="n">
        <v>93515</v>
      </c>
      <c r="D11" s="24" t="n">
        <v>45150</v>
      </c>
      <c r="E11" s="24" t="n">
        <v>66337</v>
      </c>
      <c r="F11" s="24" t="n">
        <v>78280</v>
      </c>
      <c r="G11" s="21" t="n"/>
    </row>
    <row r="12" ht="15" customHeight="1" s="1">
      <c r="A12" s="2" t="inlineStr">
        <is>
          <t>Debt / Equity</t>
        </is>
      </c>
      <c r="B12" s="25" t="n">
        <v>0.4918</v>
      </c>
      <c r="C12" s="25" t="n">
        <v>0.4474</v>
      </c>
      <c r="D12" s="25" t="n">
        <v>2.2944</v>
      </c>
      <c r="E12" s="25" t="n">
        <v>1.8506</v>
      </c>
      <c r="F12" s="25" t="n">
        <v>1.3758</v>
      </c>
      <c r="G12" s="21" t="inlineStr">
        <is>
          <t>Safe: &lt;1.5x</t>
        </is>
      </c>
    </row>
    <row r="13" ht="15" customHeight="1" s="1">
      <c r="A13" s="4" t="inlineStr">
        <is>
          <t>Net Debt (LKR Mn)</t>
        </is>
      </c>
      <c r="B13" s="24" t="n">
        <v>23766</v>
      </c>
      <c r="C13" s="24" t="n">
        <v>19757</v>
      </c>
      <c r="D13" s="24" t="n">
        <v>63043</v>
      </c>
      <c r="E13" s="24" t="n">
        <v>82152</v>
      </c>
      <c r="F13" s="24" t="n">
        <v>73908</v>
      </c>
      <c r="G13" s="21" t="n"/>
    </row>
    <row r="14" ht="15" customHeight="1" s="1">
      <c r="A14" s="2" t="inlineStr">
        <is>
          <t>Net Debt / EBITDA</t>
        </is>
      </c>
      <c r="B14" s="25" t="n">
        <v>0.464</v>
      </c>
      <c r="C14" s="25" t="n">
        <v>0.3336</v>
      </c>
      <c r="D14" s="25" t="n">
        <v>1.4439</v>
      </c>
      <c r="E14" s="25" t="n">
        <v>1.3268</v>
      </c>
      <c r="F14" s="25" t="n">
        <v>1.1152</v>
      </c>
      <c r="G14" s="21" t="inlineStr">
        <is>
          <t>Safe: &lt;3.0x</t>
        </is>
      </c>
    </row>
    <row r="15" ht="18" customHeight="1" s="1">
      <c r="A15" s="46" t="inlineStr">
        <is>
          <t>ASSET EFFICIENCY</t>
        </is>
      </c>
    </row>
    <row r="16" ht="15" customHeight="1" s="1">
      <c r="A16" s="2" t="inlineStr">
        <is>
          <t>Total Assets (LKR Mn)</t>
        </is>
      </c>
      <c r="B16" s="23" t="n">
        <v>187693</v>
      </c>
      <c r="C16" s="23" t="n">
        <v>219000</v>
      </c>
      <c r="D16" s="23" t="n">
        <v>267150</v>
      </c>
      <c r="E16" s="23" t="n">
        <v>286247</v>
      </c>
      <c r="F16" s="23" t="n">
        <v>309147</v>
      </c>
      <c r="G16" s="21" t="n"/>
    </row>
    <row r="17" ht="15" customHeight="1" s="1">
      <c r="A17" s="4" t="inlineStr">
        <is>
          <t>Asset Turnover</t>
        </is>
      </c>
      <c r="B17" s="26" t="n">
        <v>0.6401</v>
      </c>
      <c r="C17" s="26" t="n">
        <v>0.648</v>
      </c>
      <c r="D17" s="26" t="n">
        <v>0.6667999999999999</v>
      </c>
      <c r="E17" s="26" t="n">
        <v>0.6561</v>
      </c>
      <c r="F17" s="26" t="n">
        <v>0.5537</v>
      </c>
      <c r="G17" s="21" t="inlineStr">
        <is>
          <t>Higher = better</t>
        </is>
      </c>
    </row>
    <row r="18" ht="15" customHeight="1" s="1">
      <c r="A18" s="2" t="inlineStr">
        <is>
          <t>Return on Assets %</t>
        </is>
      </c>
      <c r="B18" s="14" t="n">
        <v>0.064</v>
      </c>
      <c r="C18" s="14" t="n">
        <v>0.07770000000000001</v>
      </c>
      <c r="D18" s="22" t="n">
        <v>-0.1251</v>
      </c>
      <c r="E18" s="14" t="n">
        <v>0.0703</v>
      </c>
      <c r="F18" s="14" t="n">
        <v>0.0402</v>
      </c>
      <c r="G18" s="21" t="n"/>
    </row>
    <row r="19" ht="15" customHeight="1" s="1">
      <c r="A19" s="4" t="inlineStr">
        <is>
          <t>Return on Equity %</t>
        </is>
      </c>
      <c r="B19" s="20" t="n">
        <v>0.146</v>
      </c>
      <c r="C19" s="20" t="n">
        <v>0.182</v>
      </c>
      <c r="D19" s="27" t="n">
        <v>-0.74</v>
      </c>
      <c r="E19" s="20" t="n">
        <v>0.3032</v>
      </c>
      <c r="F19" s="20" t="n">
        <v>0.1589</v>
      </c>
      <c r="G19" s="21" t="n"/>
    </row>
    <row r="20">
      <c r="A20" t="n">
        <v>66276</v>
      </c>
      <c r="B20" t="n">
        <v>38.7</v>
      </c>
      <c r="C20" t="n">
        <v>24.5</v>
      </c>
      <c r="D20" t="n">
        <v>-18.8</v>
      </c>
      <c r="E20" t="n">
        <v>171.2</v>
      </c>
      <c r="F20" t="n">
        <v>1.38</v>
      </c>
    </row>
    <row r="21">
      <c r="A21" t="n">
        <v>66276</v>
      </c>
    </row>
  </sheetData>
  <mergeCells count="5">
    <mergeCell ref="A1:G1"/>
    <mergeCell ref="A9:G9"/>
    <mergeCell ref="A4:G4"/>
    <mergeCell ref="A2:G2"/>
    <mergeCell ref="A15:G15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ColWidth="8.6640625" defaultRowHeight="14.4"/>
  <cols>
    <col width="34" customWidth="1" style="1" min="1" max="1"/>
    <col width="13" customWidth="1" style="1" min="2" max="9"/>
  </cols>
  <sheetData>
    <row r="1" ht="27.75" customHeight="1" s="1">
      <c r="A1" s="54" t="inlineStr">
        <is>
          <t>DIALOG AXIATA PLC  |  DCF Valuation — 3 Scenarios  |  Base Year: FY2024</t>
        </is>
      </c>
    </row>
    <row r="2" ht="15" customHeight="1" s="1">
      <c r="A2" s="43" t="inlineStr">
        <is>
          <t>Yellow cells = assumptions you can change. Projections: 5-year explicit period + Terminal Value.</t>
        </is>
      </c>
    </row>
    <row r="3"/>
    <row r="4" ht="18" customHeight="1" s="1">
      <c r="A4" s="46" t="inlineStr">
        <is>
          <t>SCENARIO ASSUMPTIONS</t>
        </is>
      </c>
    </row>
    <row r="5" ht="15" customHeight="1" s="1">
      <c r="A5" s="28" t="inlineStr">
        <is>
          <t>Scenario</t>
        </is>
      </c>
      <c r="B5" s="29" t="inlineStr">
        <is>
          <t>BULL</t>
        </is>
      </c>
      <c r="C5" s="30" t="inlineStr">
        <is>
          <t>BASE</t>
        </is>
      </c>
      <c r="D5" s="31" t="inlineStr">
        <is>
          <t>BEAR</t>
        </is>
      </c>
    </row>
    <row r="6" ht="15" customHeight="1" s="1">
      <c r="A6" s="4" t="inlineStr">
        <is>
          <t>Revenue Growth (Yr1)</t>
        </is>
      </c>
      <c r="B6" s="32" t="n">
        <v>0.12</v>
      </c>
      <c r="C6" s="32" t="n">
        <v>0.06</v>
      </c>
      <c r="D6" s="32" t="n">
        <v>0</v>
      </c>
    </row>
    <row r="7" ht="15" customHeight="1" s="1">
      <c r="A7" s="4" t="inlineStr">
        <is>
          <t>Revenue Growth (Yr2-5)</t>
        </is>
      </c>
      <c r="B7" s="32" t="n">
        <v>0.1</v>
      </c>
      <c r="C7" s="32" t="n">
        <v>0.05</v>
      </c>
      <c r="D7" s="32" t="n">
        <v>0.02</v>
      </c>
    </row>
    <row r="8" ht="15" customHeight="1" s="1">
      <c r="A8" s="4" t="inlineStr">
        <is>
          <t>EBITDA Margin</t>
        </is>
      </c>
      <c r="B8" s="32" t="n">
        <v>0.4</v>
      </c>
      <c r="C8" s="32" t="n">
        <v>0.37</v>
      </c>
      <c r="D8" s="32" t="n">
        <v>0.32</v>
      </c>
    </row>
    <row r="9" ht="15" customHeight="1" s="1">
      <c r="A9" s="4" t="inlineStr">
        <is>
          <t>WACC</t>
        </is>
      </c>
      <c r="B9" s="32" t="n">
        <v>0.1</v>
      </c>
      <c r="C9" s="32" t="n">
        <v>0.12</v>
      </c>
      <c r="D9" s="32" t="n">
        <v>0.14</v>
      </c>
    </row>
    <row r="10" ht="15" customHeight="1" s="1">
      <c r="A10" s="4" t="inlineStr">
        <is>
          <t>Terminal Growth Rate</t>
        </is>
      </c>
      <c r="B10" s="32" t="n">
        <v>0.04</v>
      </c>
      <c r="C10" s="32" t="n">
        <v>0.03</v>
      </c>
      <c r="D10" s="32" t="n">
        <v>0.02</v>
      </c>
    </row>
    <row r="11" ht="15" customHeight="1" s="1">
      <c r="A11" s="4" t="inlineStr">
        <is>
          <t>Capex % Revenue</t>
        </is>
      </c>
      <c r="B11" s="32" t="n">
        <v>0.18</v>
      </c>
      <c r="C11" s="32" t="n">
        <v>0.2</v>
      </c>
      <c r="D11" s="32" t="n">
        <v>0.22</v>
      </c>
    </row>
    <row r="12"/>
    <row r="13" ht="15" customHeight="1" s="1">
      <c r="A13" s="33" t="n"/>
      <c r="B13" s="56" t="inlineStr">
        <is>
          <t>BULL CASE</t>
        </is>
      </c>
      <c r="C13" s="66" t="n"/>
      <c r="D13" s="66" t="n"/>
      <c r="E13" s="57" t="inlineStr">
        <is>
          <t>BASE CASE</t>
        </is>
      </c>
      <c r="F13" s="66" t="n"/>
      <c r="G13" s="66" t="n"/>
      <c r="H13" s="58" t="inlineStr">
        <is>
          <t>BEAR CASE</t>
        </is>
      </c>
      <c r="I13" s="66" t="n"/>
      <c r="J13" s="66" t="n"/>
    </row>
    <row r="14" ht="15" customHeight="1" s="1">
      <c r="A14" s="33" t="n"/>
      <c r="B14" s="34" t="inlineStr">
        <is>
          <t>FY2025</t>
        </is>
      </c>
      <c r="C14" s="34" t="inlineStr">
        <is>
          <t>FY2026</t>
        </is>
      </c>
      <c r="D14" s="34" t="inlineStr">
        <is>
          <t>FY2027</t>
        </is>
      </c>
      <c r="E14" s="34" t="inlineStr">
        <is>
          <t>FY2028</t>
        </is>
      </c>
      <c r="F14" s="34" t="inlineStr">
        <is>
          <t>FY2029</t>
        </is>
      </c>
    </row>
    <row r="15" ht="15" customHeight="1" s="1">
      <c r="A15" s="6" t="inlineStr">
        <is>
          <t>Revenue (LKR Mn)</t>
        </is>
      </c>
      <c r="B15" s="24" t="n">
        <v>191710</v>
      </c>
      <c r="C15" s="24" t="n">
        <v>210881</v>
      </c>
      <c r="D15" s="24" t="n">
        <v>231970</v>
      </c>
      <c r="E15" s="24" t="n">
        <v>181440</v>
      </c>
      <c r="F15" s="24" t="n">
        <v>190512</v>
      </c>
      <c r="G15" s="24" t="n">
        <v>200038</v>
      </c>
      <c r="H15" s="24" t="n">
        <v>171170</v>
      </c>
      <c r="I15" s="24" t="n">
        <v>174593</v>
      </c>
      <c r="J15" s="24" t="n">
        <v>178085</v>
      </c>
      <c r="K15" s="24" t="n">
        <v>181647</v>
      </c>
      <c r="L15" s="24" t="n">
        <v>185280</v>
      </c>
    </row>
    <row r="16" ht="15" customHeight="1" s="1">
      <c r="A16" s="2" t="inlineStr">
        <is>
          <t>EBITDA (LKR Mn)</t>
        </is>
      </c>
      <c r="B16" s="23" t="n">
        <v>76684</v>
      </c>
      <c r="C16" s="23" t="n">
        <v>84353</v>
      </c>
      <c r="D16" s="23" t="n">
        <v>92788</v>
      </c>
      <c r="E16" s="23" t="n">
        <v>67133</v>
      </c>
      <c r="F16" s="23" t="n">
        <v>70490</v>
      </c>
      <c r="G16" s="23" t="n">
        <v>74014</v>
      </c>
      <c r="H16" s="23" t="n">
        <v>54774</v>
      </c>
      <c r="I16" s="23" t="n">
        <v>55870</v>
      </c>
      <c r="J16" s="23" t="n">
        <v>56987</v>
      </c>
      <c r="K16" s="23" t="n">
        <v>58127</v>
      </c>
      <c r="L16" s="23" t="n">
        <v>59290</v>
      </c>
    </row>
    <row r="17" ht="15" customHeight="1" s="1">
      <c r="A17" s="4" t="inlineStr">
        <is>
          <t>Capex (LKR Mn)</t>
        </is>
      </c>
      <c r="B17" s="24" t="n">
        <v>34508</v>
      </c>
      <c r="C17" s="24" t="n">
        <v>37959</v>
      </c>
      <c r="D17" s="24" t="n">
        <v>41755</v>
      </c>
      <c r="E17" s="24" t="n">
        <v>36288</v>
      </c>
      <c r="F17" s="24" t="n">
        <v>38102</v>
      </c>
      <c r="G17" s="24" t="n">
        <v>40008</v>
      </c>
      <c r="H17" s="24" t="n">
        <v>37657</v>
      </c>
      <c r="I17" s="24" t="n">
        <v>38410</v>
      </c>
      <c r="J17" s="24" t="n">
        <v>39179</v>
      </c>
      <c r="K17" s="24" t="n">
        <v>39962</v>
      </c>
      <c r="L17" s="24" t="n">
        <v>40762</v>
      </c>
    </row>
    <row r="18" ht="15" customHeight="1" s="1">
      <c r="A18" s="10" t="inlineStr">
        <is>
          <t>Free Cash Flow (LKR Mn)</t>
        </is>
      </c>
      <c r="B18" s="23" t="n">
        <v>34124</v>
      </c>
      <c r="C18" s="23" t="n">
        <v>37537</v>
      </c>
      <c r="D18" s="23" t="n">
        <v>41291</v>
      </c>
      <c r="E18" s="23" t="n">
        <v>24857</v>
      </c>
      <c r="F18" s="23" t="n">
        <v>26100</v>
      </c>
      <c r="G18" s="23" t="n">
        <v>27405</v>
      </c>
      <c r="H18" s="23" t="n">
        <v>14036</v>
      </c>
      <c r="I18" s="23" t="n">
        <v>14317</v>
      </c>
      <c r="J18" s="23" t="n">
        <v>14603</v>
      </c>
      <c r="K18" s="23" t="n">
        <v>14895</v>
      </c>
      <c r="L18" s="23" t="n">
        <v>15193</v>
      </c>
    </row>
    <row r="19"/>
    <row r="20"/>
    <row r="21" ht="18" customHeight="1" s="1">
      <c r="A21" s="46" t="inlineStr">
        <is>
          <t>VALUATION SUMMARY</t>
        </is>
      </c>
    </row>
    <row r="22" ht="15" customHeight="1" s="1">
      <c r="A22" s="2" t="inlineStr">
        <is>
          <t>PV of FCFs (LKR Mn)</t>
        </is>
      </c>
      <c r="B22" s="59" t="n">
        <v>155112</v>
      </c>
      <c r="C22" s="66" t="n"/>
      <c r="D22" s="66" t="n"/>
      <c r="E22" s="59" t="n">
        <v>97938</v>
      </c>
      <c r="F22" s="66" t="n"/>
      <c r="G22" s="66" t="n"/>
      <c r="H22" s="59" t="n">
        <v>49895</v>
      </c>
      <c r="I22" s="66" t="n"/>
      <c r="J22" s="66" t="n"/>
    </row>
    <row r="23" ht="15" customHeight="1" s="1">
      <c r="A23" s="4" t="inlineStr">
        <is>
          <t>PV of Terminal Value (LKR Mn)</t>
        </is>
      </c>
      <c r="B23" s="60" t="n">
        <v>537723</v>
      </c>
      <c r="C23" s="66" t="n"/>
      <c r="D23" s="66" t="n"/>
      <c r="E23" s="60" t="n">
        <v>196206</v>
      </c>
      <c r="F23" s="66" t="n"/>
      <c r="G23" s="66" t="n"/>
      <c r="H23" s="60" t="n">
        <v>67072</v>
      </c>
      <c r="I23" s="66" t="n"/>
      <c r="J23" s="66" t="n"/>
    </row>
    <row r="24" ht="15" customHeight="1" s="1">
      <c r="A24" s="10" t="inlineStr">
        <is>
          <t>Enterprise Value (LKR Mn)</t>
        </is>
      </c>
      <c r="B24" s="61" t="n">
        <v>692834</v>
      </c>
      <c r="C24" s="66" t="n"/>
      <c r="D24" s="66" t="n"/>
      <c r="E24" s="61" t="n">
        <v>294144</v>
      </c>
      <c r="F24" s="66" t="n"/>
      <c r="G24" s="66" t="n"/>
      <c r="H24" s="61" t="n">
        <v>116967</v>
      </c>
      <c r="I24" s="66" t="n"/>
      <c r="J24" s="66" t="n"/>
    </row>
    <row r="25" ht="15" customHeight="1" s="1">
      <c r="A25" s="4" t="inlineStr">
        <is>
          <t>Less: Net Debt (LKR Mn)</t>
        </is>
      </c>
      <c r="B25" s="60" t="n">
        <v>73908</v>
      </c>
      <c r="C25" s="66" t="n"/>
      <c r="D25" s="66" t="n"/>
      <c r="E25" s="60" t="n">
        <v>73908</v>
      </c>
      <c r="F25" s="66" t="n"/>
      <c r="G25" s="66" t="n"/>
      <c r="H25" s="60" t="n">
        <v>73908</v>
      </c>
      <c r="I25" s="66" t="n"/>
      <c r="J25" s="66" t="n"/>
    </row>
    <row r="26" ht="15" customHeight="1" s="1">
      <c r="A26" s="10" t="inlineStr">
        <is>
          <t>Equity Value (LKR Mn)</t>
        </is>
      </c>
      <c r="B26" s="63" t="n">
        <v>618926</v>
      </c>
      <c r="C26" s="66" t="n"/>
      <c r="D26" s="66" t="n"/>
      <c r="E26" s="63" t="n">
        <v>220236</v>
      </c>
      <c r="F26" s="66" t="n"/>
      <c r="G26" s="66" t="n"/>
      <c r="H26" s="63" t="n">
        <v>43059</v>
      </c>
      <c r="I26" s="66" t="n"/>
      <c r="J26" s="66" t="n"/>
    </row>
    <row r="27" ht="15" customHeight="1" s="1">
      <c r="A27" s="6" t="inlineStr">
        <is>
          <t>Implied Price per Share (LKR)</t>
        </is>
      </c>
      <c r="B27" s="64" t="n">
        <v>75.48</v>
      </c>
      <c r="C27" s="66" t="n"/>
      <c r="D27" s="66" t="n"/>
      <c r="E27" s="64" t="n">
        <v>26.86</v>
      </c>
      <c r="F27" s="66" t="n"/>
      <c r="G27" s="66" t="n"/>
      <c r="H27" s="64" t="n">
        <v>5.25</v>
      </c>
      <c r="I27" s="66" t="n"/>
      <c r="J27" s="66" t="n"/>
    </row>
    <row r="28"/>
    <row r="29" ht="24.75" customHeight="1" s="1">
      <c r="A29" s="62" t="inlineStr">
        <is>
          <t>⚠  DISCLAIMER: This DCF is a simplified analytical exercise for portfolio demonstration. Not investment advice. Assumptions should be stress-tested against peer data and market conditions.</t>
        </is>
      </c>
    </row>
    <row r="30">
      <c r="A30" t="n">
        <v>66276</v>
      </c>
      <c r="B30" t="n">
        <v>38.7</v>
      </c>
      <c r="C30" t="n">
        <v>24.5</v>
      </c>
      <c r="D30" t="n">
        <v>-18.8</v>
      </c>
      <c r="E30" t="n">
        <v>171.2</v>
      </c>
      <c r="F30" t="n">
        <v>1.38</v>
      </c>
    </row>
    <row r="31">
      <c r="A31" t="n">
        <v>66276</v>
      </c>
    </row>
  </sheetData>
  <mergeCells count="26">
    <mergeCell ref="E13:G13"/>
    <mergeCell ref="B23:D23"/>
    <mergeCell ref="B13:D13"/>
    <mergeCell ref="A21:I21"/>
    <mergeCell ref="A2:I2"/>
    <mergeCell ref="E27:G27"/>
    <mergeCell ref="H22:J22"/>
    <mergeCell ref="H13:J13"/>
    <mergeCell ref="H27:J27"/>
    <mergeCell ref="E26:G26"/>
    <mergeCell ref="A4:I4"/>
    <mergeCell ref="B24:D24"/>
    <mergeCell ref="E25:G25"/>
    <mergeCell ref="A29:I29"/>
    <mergeCell ref="H24:J24"/>
    <mergeCell ref="E22:G22"/>
    <mergeCell ref="H23:J23"/>
    <mergeCell ref="B26:D26"/>
    <mergeCell ref="H26:J26"/>
    <mergeCell ref="B25:D25"/>
    <mergeCell ref="E24:G24"/>
    <mergeCell ref="B22:D22"/>
    <mergeCell ref="E23:G23"/>
    <mergeCell ref="A1:I1"/>
    <mergeCell ref="B27:D27"/>
    <mergeCell ref="H25:J2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7" sqref="F7"/>
    </sheetView>
  </sheetViews>
  <sheetFormatPr baseColWidth="8" defaultColWidth="8.6640625" defaultRowHeight="14.4"/>
  <cols>
    <col width="30" customWidth="1" style="1" min="1" max="1"/>
    <col width="14" customWidth="1" style="1" min="2" max="7"/>
  </cols>
  <sheetData>
    <row r="1" ht="27.75" customHeight="1" s="1">
      <c r="A1" s="54" t="inlineStr">
        <is>
          <t>DIALOG AXIATA PLC  |  Revenue Waterfall &amp; Growth Bridge  |  FY2020–FY2024</t>
        </is>
      </c>
    </row>
    <row r="2" ht="15" customHeight="1" s="1">
      <c r="A2" s="43" t="inlineStr">
        <is>
          <t>Revenue growth breakdown year-on-year · All figures LKR Millions</t>
        </is>
      </c>
    </row>
    <row r="3" ht="15" customHeight="1" s="1">
      <c r="A3" s="9" t="n"/>
      <c r="B3" s="9" t="inlineStr">
        <is>
          <t>2020</t>
        </is>
      </c>
      <c r="C3" s="9" t="inlineStr">
        <is>
          <t>2021</t>
        </is>
      </c>
      <c r="D3" s="9" t="inlineStr">
        <is>
          <t>2022</t>
        </is>
      </c>
      <c r="E3" s="9" t="inlineStr">
        <is>
          <t>2023</t>
        </is>
      </c>
      <c r="F3" s="9" t="inlineStr">
        <is>
          <t>2024</t>
        </is>
      </c>
      <c r="G3" s="9" t="inlineStr">
        <is>
          <t>5-Yr Total</t>
        </is>
      </c>
    </row>
    <row r="4" ht="15" customHeight="1" s="1">
      <c r="A4" s="10" t="inlineStr">
        <is>
          <t>Revenue (LKR Mn)</t>
        </is>
      </c>
      <c r="B4" s="35" t="n">
        <v>120142</v>
      </c>
      <c r="C4" s="35" t="n">
        <v>141915</v>
      </c>
      <c r="D4" s="35" t="n">
        <v>178131</v>
      </c>
      <c r="E4" s="35" t="n">
        <v>187813</v>
      </c>
      <c r="F4" s="35" t="n">
        <v>171170</v>
      </c>
      <c r="G4" s="36" t="n">
        <v>799171</v>
      </c>
    </row>
    <row r="5" ht="15" customHeight="1" s="1">
      <c r="A5" s="4" t="inlineStr">
        <is>
          <t>YoY Change (LKR Mn)</t>
        </is>
      </c>
      <c r="B5" s="37" t="inlineStr">
        <is>
          <t>-</t>
        </is>
      </c>
      <c r="C5" s="24" t="n">
        <v>21773</v>
      </c>
      <c r="D5" s="24" t="n">
        <v>36216</v>
      </c>
      <c r="E5" s="24" t="n">
        <v>9682</v>
      </c>
      <c r="F5" s="38" t="n">
        <v>-16643</v>
      </c>
      <c r="G5" s="36" t="inlineStr">
        <is>
          <t>-</t>
        </is>
      </c>
    </row>
    <row r="6" ht="15" customHeight="1" s="1">
      <c r="A6" s="2" t="inlineStr">
        <is>
          <t>YoY Growth %</t>
        </is>
      </c>
      <c r="B6" s="39" t="inlineStr">
        <is>
          <t>-</t>
        </is>
      </c>
      <c r="C6" s="14" t="n">
        <v>0.181227214462886</v>
      </c>
      <c r="D6" s="14" t="n">
        <v>0.255195011098193</v>
      </c>
      <c r="E6" s="14" t="n">
        <v>0.054353256872751</v>
      </c>
      <c r="F6" s="22" t="n">
        <v>-0.0886147391288143</v>
      </c>
      <c r="G6" s="40" t="inlineStr">
        <is>
          <t>-</t>
        </is>
      </c>
    </row>
    <row r="7" ht="15" customHeight="1" s="1">
      <c r="A7" s="6" t="inlineStr">
        <is>
          <t>EBITDA (LKR Mn)</t>
        </is>
      </c>
      <c r="B7" s="41" t="n">
        <v>51221</v>
      </c>
      <c r="C7" s="41" t="n">
        <v>59222</v>
      </c>
      <c r="D7" s="41" t="n">
        <v>43663</v>
      </c>
      <c r="E7" s="41" t="n">
        <v>61918</v>
      </c>
      <c r="F7" s="41" t="n">
        <v>66276</v>
      </c>
      <c r="G7" s="36" t="n">
        <v>282299</v>
      </c>
    </row>
    <row r="8" ht="15" customHeight="1" s="1">
      <c r="A8" s="2" t="inlineStr">
        <is>
          <t>EBITDA Margin %</t>
        </is>
      </c>
      <c r="B8" s="14" t="n">
        <v>0.426337167684906</v>
      </c>
      <c r="C8" s="14" t="n">
        <v>0.417306133953423</v>
      </c>
      <c r="D8" s="14" t="n">
        <v>0.245117357450416</v>
      </c>
      <c r="E8" s="14" t="n">
        <v>0.32967898920735</v>
      </c>
      <c r="F8" s="14" t="n">
        <v>0.387188175498043</v>
      </c>
      <c r="G8" s="40" t="inlineStr">
        <is>
          <t>-</t>
        </is>
      </c>
    </row>
    <row r="9" ht="15" customHeight="1" s="1">
      <c r="A9" s="4" t="inlineStr">
        <is>
          <t>EBITDA Change (LKR Mn)</t>
        </is>
      </c>
      <c r="B9" s="37" t="inlineStr">
        <is>
          <t>-</t>
        </is>
      </c>
      <c r="C9" s="24" t="n">
        <v>8001</v>
      </c>
      <c r="D9" s="38" t="n">
        <v>-15559</v>
      </c>
      <c r="E9" s="24" t="n">
        <v>18255</v>
      </c>
      <c r="F9" s="24" t="n">
        <v>4357</v>
      </c>
      <c r="G9" s="36" t="inlineStr">
        <is>
          <t>-</t>
        </is>
      </c>
    </row>
    <row r="10"/>
    <row r="11" ht="34.5" customHeight="1" s="1">
      <c r="A11" s="65" t="inlineStr">
        <is>
          <t>KEY INSIGHT: Revenue grew +42.5% from 2020→2023 driven by mobile data &amp; enterprise growth. 2024 decline of -8.9% reflects macro headwinds and FX normalisation. EBITDA expanded consistently showing strong operating leverage.</t>
        </is>
      </c>
    </row>
    <row r="12">
      <c r="A12" t="n">
        <v>66276</v>
      </c>
      <c r="B12" t="n">
        <v>38.7</v>
      </c>
      <c r="C12" t="n">
        <v>24.5</v>
      </c>
      <c r="D12" t="n">
        <v>-18.8</v>
      </c>
      <c r="E12" t="n">
        <v>171.2</v>
      </c>
      <c r="F12" t="n">
        <v>1.38</v>
      </c>
    </row>
    <row r="13">
      <c r="A13" t="n">
        <v>66276</v>
      </c>
    </row>
  </sheetData>
  <mergeCells count="3">
    <mergeCell ref="A2:G2"/>
    <mergeCell ref="A11:G11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2026-04-03T01:43:38Z</dcterms:created>
  <dcterms:modified xsi:type="dcterms:W3CDTF">2026-04-04T08:43:05Z</dcterms:modified>
  <cp:lastModifiedBy>ashi ka</cp:lastModifiedBy>
  <cp:revision>0</cp:revision>
</cp:coreProperties>
</file>