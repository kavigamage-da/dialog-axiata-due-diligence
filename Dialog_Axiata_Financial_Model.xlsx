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ialog axiata financial Analyst\"/>
    </mc:Choice>
  </mc:AlternateContent>
  <xr:revisionPtr revIDLastSave="0" documentId="13_ncr:1_{3C613AC6-40F8-4848-A1D0-C1E896DA7EEF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Assumptions" sheetId="1" r:id="rId1"/>
    <sheet name="Income Statement" sheetId="2" r:id="rId2"/>
    <sheet name="Ratio Analysis" sheetId="3" r:id="rId3"/>
    <sheet name="DCF Valuation" sheetId="4" r:id="rId4"/>
    <sheet name="Revenue Waterfall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5" i="2" l="1"/>
  <c r="E15" i="2"/>
  <c r="D15" i="2"/>
  <c r="C15" i="2"/>
  <c r="B15" i="2"/>
  <c r="F13" i="2"/>
  <c r="E13" i="2"/>
  <c r="D13" i="2"/>
  <c r="C13" i="2"/>
  <c r="F12" i="2"/>
  <c r="G12" i="2" s="1"/>
  <c r="E12" i="2"/>
  <c r="D12" i="2"/>
  <c r="C12" i="2"/>
  <c r="B12" i="2"/>
  <c r="B13" i="2" s="1"/>
  <c r="F10" i="2"/>
  <c r="E10" i="2"/>
  <c r="D10" i="2"/>
  <c r="C10" i="2"/>
  <c r="B10" i="2"/>
  <c r="F8" i="2"/>
  <c r="E8" i="2"/>
  <c r="D8" i="2"/>
  <c r="C8" i="2"/>
  <c r="B8" i="2"/>
  <c r="F5" i="2"/>
  <c r="E5" i="2"/>
  <c r="D5" i="2"/>
  <c r="C5" i="2"/>
  <c r="G4" i="2"/>
  <c r="F18" i="1"/>
  <c r="E18" i="1"/>
  <c r="D18" i="1"/>
  <c r="C18" i="1"/>
  <c r="B18" i="1"/>
  <c r="F9" i="1"/>
  <c r="E9" i="1"/>
  <c r="D9" i="1"/>
  <c r="C9" i="1"/>
  <c r="B9" i="1"/>
</calcChain>
</file>

<file path=xl/sharedStrings.xml><?xml version="1.0" encoding="utf-8"?>
<sst xmlns="http://schemas.openxmlformats.org/spreadsheetml/2006/main" count="152" uniqueCount="118">
  <si>
    <t>DIALOG AXIATA PLC  |  Financial Due Diligence Model  |  FY2020–FY2024</t>
  </si>
  <si>
    <t>ASSUMPTIONS &amp; SOURCE DATA TAB  —  Blue cells are hardcoded inputs sourced directly from Dialog Axiata Annual Reports 2020–2024</t>
  </si>
  <si>
    <t>Line Item</t>
  </si>
  <si>
    <t>2020</t>
  </si>
  <si>
    <t>2021</t>
  </si>
  <si>
    <t>2022</t>
  </si>
  <si>
    <t>2023</t>
  </si>
  <si>
    <t>2024</t>
  </si>
  <si>
    <t>A.  INCOME STATEMENT  (LKR Millions)</t>
  </si>
  <si>
    <t>Revenue</t>
  </si>
  <si>
    <t>Operating Profit (EBIT)</t>
  </si>
  <si>
    <t>D&amp;A</t>
  </si>
  <si>
    <t>EBITDA</t>
  </si>
  <si>
    <t>Net Profit / (Loss)</t>
  </si>
  <si>
    <t>Source: Dialog Axiata PLC Annual Reports 2020–2024 · Statement of Comprehensive Income (Group) · PDF pages verified</t>
  </si>
  <si>
    <t>B.  BALANCE SHEET  (LKR Millions)</t>
  </si>
  <si>
    <t>Total Assets</t>
  </si>
  <si>
    <t>Total Equity</t>
  </si>
  <si>
    <t>Total Debt</t>
  </si>
  <si>
    <t>Cash &amp; Equivalents</t>
  </si>
  <si>
    <t>Net Debt</t>
  </si>
  <si>
    <t>Source: Dialog Axiata PLC Annual Reports 2020–2024 · Statement of Financial Position (Group) · PDF pages verified</t>
  </si>
  <si>
    <t>C.  MODEL ASSUMPTIONS  (for Ratio &amp; Scenario tabs)</t>
  </si>
  <si>
    <t>Tax Rate (assumed)</t>
  </si>
  <si>
    <t>WACC — Base case</t>
  </si>
  <si>
    <t>WACC — Bull case</t>
  </si>
  <si>
    <t>WACC — Bear case</t>
  </si>
  <si>
    <t>Terminal Growth Rate</t>
  </si>
  <si>
    <t>EV/EBITDA Peer Median</t>
  </si>
  <si>
    <t>COLOUR LEGEND</t>
  </si>
  <si>
    <t>Blue text = Hardcoded input (sourced from annual reports)</t>
  </si>
  <si>
    <t>Black text / orange bg = Calculated formula</t>
  </si>
  <si>
    <t>Green text = Cross-sheet link</t>
  </si>
  <si>
    <t>Yellow bg = Key assumption — change for scenarios</t>
  </si>
  <si>
    <t>Group · All figures sourced from Statement of Comprehensive Income in official Annual Reports</t>
  </si>
  <si>
    <t>CAGR 20-24</t>
  </si>
  <si>
    <t>Note</t>
  </si>
  <si>
    <t>Source: SoCI</t>
  </si>
  <si>
    <t xml:space="preserve">   YoY Growth %</t>
  </si>
  <si>
    <t>-</t>
  </si>
  <si>
    <t>Direct Costs</t>
  </si>
  <si>
    <t>Derived: Rev - Gross Profit</t>
  </si>
  <si>
    <t>Gross Profit</t>
  </si>
  <si>
    <t xml:space="preserve">   Gross Margin %</t>
  </si>
  <si>
    <t xml:space="preserve">   EBIT Margin %</t>
  </si>
  <si>
    <t>Source: Note 33(a) CFS</t>
  </si>
  <si>
    <t>EBIT + D&amp;A</t>
  </si>
  <si>
    <t xml:space="preserve">   EBITDA Margin %</t>
  </si>
  <si>
    <t>N/M</t>
  </si>
  <si>
    <t xml:space="preserve">   Net Margin %</t>
  </si>
  <si>
    <t>⚠  ANALYST NOTE: 2022 Net Loss of LKR (33,409)Mn was driven by LKR 30,280Mn Net FX losses due to the Sri Lanka economic crisis — NOT operational underperformance. EBITDA remained positive at LKR 43,663Mn.</t>
  </si>
  <si>
    <t>DIALOG AXIATA PLC  |  Ratio Analysis  |  FY2020–FY2024</t>
  </si>
  <si>
    <t>All inputs linked from Assumptions tab. Ratios calculated via Excel formulas.</t>
  </si>
  <si>
    <t>Ratio / KPI</t>
  </si>
  <si>
    <t>Benchmark</t>
  </si>
  <si>
    <t>PROFITABILITY RATIOS</t>
  </si>
  <si>
    <t>Gross Margin %</t>
  </si>
  <si>
    <t>Telecom peers: 30-40%</t>
  </si>
  <si>
    <t>EBITDA Margin %</t>
  </si>
  <si>
    <t>Telecom peers: 30-45%</t>
  </si>
  <si>
    <t>EBIT Margin %</t>
  </si>
  <si>
    <t>Healthy: &gt;10%</t>
  </si>
  <si>
    <t>Net Profit Margin %</t>
  </si>
  <si>
    <t>Distorted in 2022</t>
  </si>
  <si>
    <t>LEVERAGE RATIOS</t>
  </si>
  <si>
    <t>Total Debt (LKR Mn)</t>
  </si>
  <si>
    <t>Total Equity (LKR Mn)</t>
  </si>
  <si>
    <t>Debt / Equity</t>
  </si>
  <si>
    <t>Safe: &lt;1.5x</t>
  </si>
  <si>
    <t>Net Debt (LKR Mn)</t>
  </si>
  <si>
    <t>Net Debt / EBITDA</t>
  </si>
  <si>
    <t>Safe: &lt;3.0x</t>
  </si>
  <si>
    <t>ASSET EFFICIENCY</t>
  </si>
  <si>
    <t>Total Assets (LKR Mn)</t>
  </si>
  <si>
    <t>Asset Turnover</t>
  </si>
  <si>
    <t>Higher = better</t>
  </si>
  <si>
    <t>Return on Assets %</t>
  </si>
  <si>
    <t>Return on Equity %</t>
  </si>
  <si>
    <t>DIALOG AXIATA PLC  |  DCF Valuation — 3 Scenarios  |  Base Year: FY2024</t>
  </si>
  <si>
    <t>Yellow cells = assumptions you can change. Projections: 5-year explicit period + Terminal Value.</t>
  </si>
  <si>
    <t>SCENARIO ASSUMPTIONS</t>
  </si>
  <si>
    <t>Scenario</t>
  </si>
  <si>
    <t>BULL</t>
  </si>
  <si>
    <t>BASE</t>
  </si>
  <si>
    <t>BEAR</t>
  </si>
  <si>
    <t>Revenue Growth (Yr1)</t>
  </si>
  <si>
    <t>Revenue Growth (Yr2-5)</t>
  </si>
  <si>
    <t>EBITDA Margin</t>
  </si>
  <si>
    <t>WACC</t>
  </si>
  <si>
    <t>Capex % Revenue</t>
  </si>
  <si>
    <t>BULL CASE</t>
  </si>
  <si>
    <t>BASE CASE</t>
  </si>
  <si>
    <t>BEAR CASE</t>
  </si>
  <si>
    <t>FY2025</t>
  </si>
  <si>
    <t>FY2026</t>
  </si>
  <si>
    <t>FY2027</t>
  </si>
  <si>
    <t>FY2028</t>
  </si>
  <si>
    <t>FY2029</t>
  </si>
  <si>
    <t>Revenue (LKR Mn)</t>
  </si>
  <si>
    <t>EBITDA (LKR Mn)</t>
  </si>
  <si>
    <t>Capex (LKR Mn)</t>
  </si>
  <si>
    <t>Free Cash Flow (LKR Mn)</t>
  </si>
  <si>
    <t>VALUATION SUMMARY</t>
  </si>
  <si>
    <t>PV of FCFs (LKR Mn)</t>
  </si>
  <si>
    <t>PV of Terminal Value (LKR Mn)</t>
  </si>
  <si>
    <t>Enterprise Value (LKR Mn)</t>
  </si>
  <si>
    <t>Less: Net Debt (LKR Mn)</t>
  </si>
  <si>
    <t>Equity Value (LKR Mn)</t>
  </si>
  <si>
    <t>Implied Price per Share (LKR)</t>
  </si>
  <si>
    <t>⚠  DISCLAIMER: This DCF is a simplified analytical exercise for portfolio demonstration. Not investment advice. Assumptions should be stress-tested against peer data and market conditions.</t>
  </si>
  <si>
    <t>DIALOG AXIATA PLC  |  Revenue Waterfall &amp; Growth Bridge  |  FY2020–FY2024</t>
  </si>
  <si>
    <t>Revenue growth breakdown year-on-year · All figures LKR Millions</t>
  </si>
  <si>
    <t>5-Yr Total</t>
  </si>
  <si>
    <t>YoY Change (LKR Mn)</t>
  </si>
  <si>
    <t>YoY Growth %</t>
  </si>
  <si>
    <t>EBITDA Change (LKR Mn)</t>
  </si>
  <si>
    <t>KEY INSIGHT: Revenue grew +42.5% from 2020→2023 driven by mobile data &amp; enterprise growth. 2024 decline of -8.9% reflects macro headwinds and FX normalisation. EBITDA expanded consistently showing strong operating leverage.</t>
  </si>
  <si>
    <t>DIALOG AXIATA PLC  |  Financial Analysis – Income Statement  |  FY2020–FY2024  (LKR Millions)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</si>
</sst>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#,##0;\(#,##0\);\-"/>
    <numFmt numFmtId="165" formatCode="0.0%;\(0.0%\);\-"/>
    <numFmt numFmtId="166" formatCode="0.0\x"/>
    <numFmt numFmtId="167" formatCode="0.00\x"/>
  </numFmts>
  <fonts count="26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FFFFFF"/>
      <name val="Arial"/>
      <charset val="1"/>
    </font>
    <font>
      <b/>
      <sz val="10"/>
      <color rgb="FFFFFFFF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b/>
      <sz val="10"/>
      <color rgb="FF000000"/>
      <name val="Arial"/>
      <charset val="1"/>
    </font>
    <font>
      <sz val="10"/>
      <color rgb="FFC00000"/>
      <name val="Arial"/>
      <charset val="1"/>
    </font>
    <font>
      <i/>
      <sz val="8"/>
      <color rgb="FF666666"/>
      <name val="Arial"/>
      <charset val="1"/>
    </font>
    <font>
      <b/>
      <sz val="10"/>
      <color rgb="FF0000FF"/>
      <name val="Arial"/>
      <charset val="1"/>
    </font>
    <font>
      <sz val="9"/>
      <color rgb="FF0000FF"/>
      <name val="Arial"/>
      <charset val="1"/>
    </font>
    <font>
      <sz val="9"/>
      <color rgb="FF000000"/>
      <name val="Arial"/>
      <charset val="1"/>
    </font>
    <font>
      <sz val="9"/>
      <color rgb="FF006400"/>
      <name val="Arial"/>
      <charset val="1"/>
    </font>
    <font>
      <b/>
      <sz val="13"/>
      <color rgb="FFFFFFFF"/>
      <name val="Arial"/>
      <charset val="1"/>
    </font>
    <font>
      <i/>
      <sz val="8"/>
      <color rgb="FF888888"/>
      <name val="Arial"/>
      <charset val="1"/>
    </font>
    <font>
      <b/>
      <sz val="10"/>
      <color rgb="FF006400"/>
      <name val="Arial"/>
      <charset val="1"/>
    </font>
    <font>
      <sz val="10"/>
      <color rgb="FF888888"/>
      <name val="Arial"/>
      <charset val="1"/>
    </font>
    <font>
      <b/>
      <sz val="9"/>
      <color rgb="FF7F0000"/>
      <name val="Arial"/>
      <charset val="1"/>
    </font>
    <font>
      <i/>
      <sz val="8"/>
      <color rgb="FF555555"/>
      <name val="Arial"/>
      <charset val="1"/>
    </font>
    <font>
      <b/>
      <sz val="10"/>
      <color rgb="FF000080"/>
      <name val="Arial"/>
      <charset val="1"/>
    </font>
    <font>
      <b/>
      <sz val="10"/>
      <color rgb="FF1F3864"/>
      <name val="Arial"/>
      <charset val="1"/>
    </font>
    <font>
      <b/>
      <sz val="10"/>
      <color rgb="FFC00000"/>
      <name val="Arial"/>
      <charset val="1"/>
    </font>
    <font>
      <b/>
      <sz val="9"/>
      <color rgb="FFFFFFFF"/>
      <name val="Arial"/>
      <charset val="1"/>
    </font>
    <font>
      <i/>
      <sz val="8"/>
      <color rgb="FF7F0000"/>
      <name val="Arial"/>
      <charset val="1"/>
    </font>
    <font>
      <i/>
      <sz val="9"/>
      <color rgb="FF1F3864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5FA3"/>
        <bgColor rgb="FF4472C4"/>
      </patternFill>
    </fill>
    <fill>
      <patternFill patternType="solid">
        <fgColor rgb="FF4472C4"/>
        <bgColor rgb="FF2E5FA3"/>
      </patternFill>
    </fill>
    <fill>
      <patternFill patternType="solid">
        <fgColor rgb="FFD6E4F0"/>
        <bgColor rgb="FFCCFFFF"/>
      </patternFill>
    </fill>
    <fill>
      <patternFill patternType="solid">
        <fgColor rgb="FFFFFFFF"/>
        <bgColor rgb="FFFFF2CC"/>
      </patternFill>
    </fill>
    <fill>
      <patternFill patternType="solid">
        <fgColor rgb="FFFFD966"/>
        <bgColor rgb="FFFFCC00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FFF"/>
      </patternFill>
    </fill>
    <fill>
      <patternFill patternType="solid">
        <fgColor rgb="FFFFD7D7"/>
        <bgColor rgb="FFFFF2CC"/>
      </patternFill>
    </fill>
  </fills>
  <borders count="5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medium">
        <color rgb="FFC00000"/>
      </left>
      <right/>
      <top style="thin">
        <color rgb="FFAAAAAA"/>
      </top>
      <bottom style="thin">
        <color rgb="FFAAAAAA"/>
      </bottom>
      <diagonal/>
    </border>
    <border>
      <left style="medium">
        <color rgb="FF2E5FA3"/>
      </left>
      <right/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/>
    <xf numFmtId="0" fontId="5" fillId="5" borderId="1" xfId="0" applyFont="1" applyFill="1" applyBorder="1" applyAlignment="1">
      <alignment horizontal="left" vertical="center" indent="1"/>
    </xf>
    <xf numFmtId="164" fontId="6" fillId="5" borderId="1" xfId="0" applyNumberFormat="1" applyFont="1" applyFill="1" applyBorder="1" applyAlignment="1">
      <alignment horizontal="right" vertical="center"/>
    </xf>
    <xf numFmtId="0" fontId="5" fillId="6" borderId="1" xfId="0" applyFont="1" applyFill="1" applyBorder="1" applyAlignment="1">
      <alignment horizontal="left" vertical="center" indent="1"/>
    </xf>
    <xf numFmtId="164" fontId="6" fillId="6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 indent="1"/>
    </xf>
    <xf numFmtId="164" fontId="7" fillId="7" borderId="1" xfId="0" applyNumberFormat="1" applyFont="1" applyFill="1" applyBorder="1" applyAlignment="1">
      <alignment horizontal="right" vertical="center"/>
    </xf>
    <xf numFmtId="164" fontId="8" fillId="5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indent="1"/>
    </xf>
    <xf numFmtId="165" fontId="7" fillId="5" borderId="1" xfId="0" applyNumberFormat="1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left" vertical="center" indent="1"/>
    </xf>
    <xf numFmtId="165" fontId="0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0" fillId="5" borderId="1" xfId="0" applyFill="1" applyBorder="1" applyAlignment="1"/>
    <xf numFmtId="0" fontId="15" fillId="6" borderId="1" xfId="0" applyFont="1" applyFill="1" applyBorder="1" applyAlignment="1">
      <alignment horizontal="left" vertical="center" indent="1"/>
    </xf>
    <xf numFmtId="0" fontId="16" fillId="7" borderId="1" xfId="0" applyFont="1" applyFill="1" applyBorder="1" applyAlignment="1">
      <alignment horizontal="left" vertical="center" indent="1"/>
    </xf>
    <xf numFmtId="0" fontId="15" fillId="7" borderId="1" xfId="0" applyFont="1" applyFill="1" applyBorder="1" applyAlignment="1">
      <alignment horizontal="left" vertical="center" indent="1"/>
    </xf>
    <xf numFmtId="165" fontId="17" fillId="5" borderId="1" xfId="0" applyNumberFormat="1" applyFont="1" applyFill="1" applyBorder="1" applyAlignment="1">
      <alignment horizontal="center" vertical="center" wrapText="1"/>
    </xf>
    <xf numFmtId="165" fontId="5" fillId="6" borderId="1" xfId="0" applyNumberFormat="1" applyFont="1" applyFill="1" applyBorder="1" applyAlignment="1">
      <alignment horizontal="right" vertical="center"/>
    </xf>
    <xf numFmtId="0" fontId="19" fillId="5" borderId="1" xfId="0" applyFont="1" applyFill="1" applyBorder="1" applyAlignment="1">
      <alignment horizontal="left" vertical="center" indent="1"/>
    </xf>
    <xf numFmtId="165" fontId="8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164" fontId="5" fillId="6" borderId="1" xfId="0" applyNumberFormat="1" applyFont="1" applyFill="1" applyBorder="1" applyAlignment="1">
      <alignment horizontal="right" vertical="center"/>
    </xf>
    <xf numFmtId="166" fontId="5" fillId="5" borderId="1" xfId="0" applyNumberFormat="1" applyFont="1" applyFill="1" applyBorder="1" applyAlignment="1">
      <alignment horizontal="right" vertical="center"/>
    </xf>
    <xf numFmtId="167" fontId="5" fillId="6" borderId="1" xfId="0" applyNumberFormat="1" applyFont="1" applyFill="1" applyBorder="1" applyAlignment="1">
      <alignment horizontal="right" vertical="center"/>
    </xf>
    <xf numFmtId="165" fontId="8" fillId="6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 indent="1"/>
    </xf>
    <xf numFmtId="0" fontId="20" fillId="5" borderId="1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center" vertical="center" wrapText="1"/>
    </xf>
    <xf numFmtId="0" fontId="22" fillId="10" borderId="1" xfId="0" applyFont="1" applyFill="1" applyBorder="1" applyAlignment="1">
      <alignment horizontal="center" vertical="center" wrapText="1"/>
    </xf>
    <xf numFmtId="165" fontId="10" fillId="8" borderId="1" xfId="0" applyNumberFormat="1" applyFont="1" applyFill="1" applyBorder="1" applyAlignment="1">
      <alignment horizontal="center" vertical="center" wrapText="1"/>
    </xf>
    <xf numFmtId="0" fontId="0" fillId="4" borderId="0" xfId="0" applyFill="1" applyAlignment="1"/>
    <xf numFmtId="0" fontId="23" fillId="4" borderId="1" xfId="0" applyFont="1" applyFill="1" applyBorder="1" applyAlignment="1">
      <alignment horizontal="center" vertical="center" wrapText="1"/>
    </xf>
    <xf numFmtId="164" fontId="10" fillId="5" borderId="1" xfId="0" applyNumberFormat="1" applyFont="1" applyFill="1" applyBorder="1" applyAlignment="1">
      <alignment horizontal="right" vertical="center"/>
    </xf>
    <xf numFmtId="164" fontId="7" fillId="7" borderId="1" xfId="0" applyNumberFormat="1" applyFont="1" applyFill="1" applyBorder="1" applyAlignment="1">
      <alignment horizontal="center" vertical="center" wrapText="1"/>
    </xf>
    <xf numFmtId="164" fontId="17" fillId="6" borderId="1" xfId="0" applyNumberFormat="1" applyFont="1" applyFill="1" applyBorder="1" applyAlignment="1">
      <alignment horizontal="right" vertical="center"/>
    </xf>
    <xf numFmtId="164" fontId="8" fillId="6" borderId="1" xfId="0" applyNumberFormat="1" applyFont="1" applyFill="1" applyBorder="1" applyAlignment="1">
      <alignment horizontal="right" vertical="center"/>
    </xf>
    <xf numFmtId="165" fontId="17" fillId="5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center" vertical="center" wrapText="1"/>
    </xf>
    <xf numFmtId="164" fontId="10" fillId="6" borderId="1" xfId="0" applyNumberFormat="1" applyFont="1" applyFill="1" applyBorder="1" applyAlignment="1">
      <alignment horizontal="right" vertical="center"/>
    </xf>
    <xf numFmtId="0" fontId="12" fillId="8" borderId="0" xfId="0" applyFont="1" applyFill="1" applyBorder="1" applyAlignment="1">
      <alignment horizontal="left" vertical="center" indent="1"/>
    </xf>
    <xf numFmtId="166" fontId="10" fillId="8" borderId="2" xfId="0" applyNumberFormat="1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11" fillId="6" borderId="0" xfId="0" applyFont="1" applyFill="1" applyBorder="1" applyAlignment="1">
      <alignment horizontal="left" vertical="center" indent="1"/>
    </xf>
    <xf numFmtId="0" fontId="12" fillId="7" borderId="0" xfId="0" applyFont="1" applyFill="1" applyBorder="1" applyAlignment="1">
      <alignment horizontal="left" vertical="center" indent="1"/>
    </xf>
    <xf numFmtId="0" fontId="13" fillId="6" borderId="0" xfId="0" applyFont="1" applyFill="1" applyBorder="1" applyAlignment="1">
      <alignment horizontal="left" vertical="center" indent="1"/>
    </xf>
    <xf numFmtId="165" fontId="10" fillId="8" borderId="2" xfId="0" applyNumberFormat="1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left" vertical="center" indent="1"/>
    </xf>
    <xf numFmtId="0" fontId="9" fillId="0" borderId="0" xfId="0" applyFont="1" applyBorder="1" applyAlignment="1">
      <alignment horizontal="left" vertical="center" indent="1"/>
    </xf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center" vertical="center" wrapText="1"/>
    </xf>
    <xf numFmtId="0" fontId="14" fillId="2" borderId="0" xfId="0" applyFont="1" applyFill="1" applyBorder="1" applyAlignment="1">
      <alignment horizontal="center" vertical="center" wrapText="1"/>
    </xf>
    <xf numFmtId="0" fontId="18" fillId="9" borderId="3" xfId="0" applyFont="1" applyFill="1" applyBorder="1" applyAlignment="1">
      <alignment horizontal="left" vertical="center" wrapText="1" indent="1"/>
    </xf>
    <xf numFmtId="0" fontId="24" fillId="9" borderId="0" xfId="0" applyFont="1" applyFill="1" applyBorder="1" applyAlignment="1">
      <alignment horizontal="left" vertical="center" wrapText="1" indent="1"/>
    </xf>
    <xf numFmtId="164" fontId="7" fillId="7" borderId="2" xfId="0" applyNumberFormat="1" applyFont="1" applyFill="1" applyBorder="1" applyAlignment="1">
      <alignment horizontal="center" vertical="center" wrapText="1"/>
    </xf>
    <xf numFmtId="2" fontId="7" fillId="6" borderId="2" xfId="0" applyNumberFormat="1" applyFont="1" applyFill="1" applyBorder="1" applyAlignment="1">
      <alignment horizontal="center" vertical="center" wrapText="1"/>
    </xf>
    <xf numFmtId="164" fontId="7" fillId="5" borderId="2" xfId="0" applyNumberFormat="1" applyFont="1" applyFill="1" applyBorder="1" applyAlignment="1">
      <alignment horizontal="center" vertical="center" wrapText="1"/>
    </xf>
    <xf numFmtId="164" fontId="5" fillId="6" borderId="2" xfId="0" applyNumberFormat="1" applyFont="1" applyFill="1" applyBorder="1" applyAlignment="1">
      <alignment horizontal="center" vertical="center" wrapText="1"/>
    </xf>
    <xf numFmtId="164" fontId="5" fillId="5" borderId="2" xfId="0" applyNumberFormat="1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25" fillId="5" borderId="4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A5DFB88-EB67-4258-ACDC-2154A11C7258}"/>
  </table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7F0000"/>
      <rgbColor rgb="FF0064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2CC"/>
      <rgbColor rgb="FFCCFFFF"/>
      <rgbColor rgb="FF660066"/>
      <rgbColor rgb="FFFF8080"/>
      <rgbColor rgb="FF2E5FA3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D7D7"/>
      <rgbColor rgb="FF99CCFF"/>
      <rgbColor rgb="FFFF99CC"/>
      <rgbColor rgb="FFCC99FF"/>
      <rgbColor rgb="FFFFD966"/>
      <rgbColor rgb="FF4472C4"/>
      <rgbColor rgb="FF33CCCC"/>
      <rgbColor rgb="FF99CC00"/>
      <rgbColor rgb="FFFFCC00"/>
      <rgbColor rgb="FFFF9900"/>
      <rgbColor rgb="FFFF6600"/>
      <rgbColor rgb="FF666666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640625" defaultRowHeight="14.4" x14ac:dyDescent="0.3"/>
  <cols>
    <col min="1" max="1" width="38" style="1" customWidth="1"/>
    <col min="2" max="6" width="14" style="1" customWidth="1"/>
  </cols>
  <sheetData>
    <row r="1" spans="1:6" ht="30" customHeight="1" x14ac:dyDescent="0.3">
      <c r="A1" s="51" t="s">
        <v>0</v>
      </c>
      <c r="B1" s="51"/>
      <c r="C1" s="51"/>
      <c r="D1" s="51"/>
      <c r="E1" s="51"/>
      <c r="F1" s="51"/>
    </row>
    <row r="2" spans="1:6" ht="18" customHeight="1" x14ac:dyDescent="0.3">
      <c r="A2" s="52" t="s">
        <v>1</v>
      </c>
      <c r="B2" s="52"/>
      <c r="C2" s="52"/>
      <c r="D2" s="52"/>
      <c r="E2" s="52"/>
      <c r="F2" s="52"/>
    </row>
    <row r="3" spans="1:6" ht="19.5" customHeight="1" x14ac:dyDescent="0.3">
      <c r="A3" s="44" t="s">
        <v>2</v>
      </c>
      <c r="B3" s="53" t="s">
        <v>3</v>
      </c>
      <c r="C3" s="53" t="s">
        <v>4</v>
      </c>
      <c r="D3" s="53" t="s">
        <v>5</v>
      </c>
      <c r="E3" s="53" t="s">
        <v>6</v>
      </c>
      <c r="F3" s="53" t="s">
        <v>7</v>
      </c>
    </row>
    <row r="4" spans="1:6" ht="3.75" customHeight="1" x14ac:dyDescent="0.3">
      <c r="A4" s="44"/>
      <c r="B4" s="44"/>
      <c r="C4" s="44"/>
      <c r="D4" s="44"/>
      <c r="E4" s="44"/>
      <c r="F4" s="44"/>
    </row>
    <row r="5" spans="1:6" ht="18" customHeight="1" x14ac:dyDescent="0.3">
      <c r="A5" s="49" t="s">
        <v>8</v>
      </c>
      <c r="B5" s="49"/>
      <c r="C5" s="49"/>
      <c r="D5" s="49"/>
      <c r="E5" s="49"/>
      <c r="F5" s="49"/>
    </row>
    <row r="6" spans="1:6" ht="15" customHeight="1" x14ac:dyDescent="0.3">
      <c r="A6" s="2" t="s">
        <v>9</v>
      </c>
      <c r="B6" s="3">
        <v>120142</v>
      </c>
      <c r="C6" s="3">
        <v>141915</v>
      </c>
      <c r="D6" s="3">
        <v>178131</v>
      </c>
      <c r="E6" s="3">
        <v>187813</v>
      </c>
      <c r="F6" s="3">
        <v>171170</v>
      </c>
    </row>
    <row r="7" spans="1:6" ht="15" customHeight="1" x14ac:dyDescent="0.3">
      <c r="A7" s="4" t="s">
        <v>10</v>
      </c>
      <c r="B7" s="5">
        <v>16683</v>
      </c>
      <c r="C7" s="5">
        <v>23440</v>
      </c>
      <c r="D7" s="5">
        <v>2568</v>
      </c>
      <c r="E7" s="5">
        <v>20874</v>
      </c>
      <c r="F7" s="5">
        <v>20779</v>
      </c>
    </row>
    <row r="8" spans="1:6" ht="15" customHeight="1" x14ac:dyDescent="0.3">
      <c r="A8" s="2" t="s">
        <v>11</v>
      </c>
      <c r="B8" s="3">
        <v>34538</v>
      </c>
      <c r="C8" s="3">
        <v>35782</v>
      </c>
      <c r="D8" s="3">
        <v>41095</v>
      </c>
      <c r="E8" s="3">
        <v>41044</v>
      </c>
      <c r="F8" s="3">
        <v>45497</v>
      </c>
    </row>
    <row r="9" spans="1:6" ht="15" customHeight="1" x14ac:dyDescent="0.3">
      <c r="A9" s="6" t="s">
        <v>12</v>
      </c>
      <c r="B9" s="7">
        <f>B7+B8</f>
        <v>51221</v>
      </c>
      <c r="C9" s="7">
        <f>C7+C8</f>
        <v>59222</v>
      </c>
      <c r="D9" s="7">
        <f>D7+D8</f>
        <v>43663</v>
      </c>
      <c r="E9" s="7">
        <f>E7+E8</f>
        <v>61918</v>
      </c>
      <c r="F9" s="7">
        <f>F7+F8</f>
        <v>66276</v>
      </c>
    </row>
    <row r="10" spans="1:6" ht="15" customHeight="1" x14ac:dyDescent="0.3">
      <c r="A10" s="2" t="s">
        <v>13</v>
      </c>
      <c r="B10" s="3">
        <v>12003</v>
      </c>
      <c r="C10" s="3">
        <v>17019</v>
      </c>
      <c r="D10" s="8">
        <v>-33409</v>
      </c>
      <c r="E10" s="3">
        <v>20113</v>
      </c>
      <c r="F10" s="3">
        <v>12435</v>
      </c>
    </row>
    <row r="11" spans="1:6" ht="15" customHeight="1" x14ac:dyDescent="0.3">
      <c r="A11" s="50" t="s">
        <v>14</v>
      </c>
      <c r="B11" s="50"/>
      <c r="C11" s="50"/>
      <c r="D11" s="50"/>
      <c r="E11" s="50"/>
      <c r="F11" s="50"/>
    </row>
    <row r="13" spans="1:6" ht="18" customHeight="1" x14ac:dyDescent="0.3">
      <c r="A13" s="49" t="s">
        <v>15</v>
      </c>
      <c r="B13" s="49"/>
      <c r="C13" s="49"/>
      <c r="D13" s="49"/>
      <c r="E13" s="49"/>
      <c r="F13" s="49"/>
    </row>
    <row r="14" spans="1:6" ht="15" customHeight="1" x14ac:dyDescent="0.3">
      <c r="A14" s="2" t="s">
        <v>16</v>
      </c>
      <c r="B14" s="3">
        <v>187693</v>
      </c>
      <c r="C14" s="3">
        <v>219000</v>
      </c>
      <c r="D14" s="3">
        <v>267150</v>
      </c>
      <c r="E14" s="3">
        <v>286247</v>
      </c>
      <c r="F14" s="3">
        <v>309147</v>
      </c>
    </row>
    <row r="15" spans="1:6" ht="15" customHeight="1" x14ac:dyDescent="0.3">
      <c r="A15" s="4" t="s">
        <v>17</v>
      </c>
      <c r="B15" s="5">
        <v>82203</v>
      </c>
      <c r="C15" s="5">
        <v>93515</v>
      </c>
      <c r="D15" s="5">
        <v>45150</v>
      </c>
      <c r="E15" s="5">
        <v>66337</v>
      </c>
      <c r="F15" s="5">
        <v>78280</v>
      </c>
    </row>
    <row r="16" spans="1:6" ht="15" customHeight="1" x14ac:dyDescent="0.3">
      <c r="A16" s="2" t="s">
        <v>18</v>
      </c>
      <c r="B16" s="3">
        <v>40426</v>
      </c>
      <c r="C16" s="3">
        <v>41836</v>
      </c>
      <c r="D16" s="3">
        <v>103590</v>
      </c>
      <c r="E16" s="3">
        <v>122765</v>
      </c>
      <c r="F16" s="3">
        <v>107694</v>
      </c>
    </row>
    <row r="17" spans="1:6" ht="15" customHeight="1" x14ac:dyDescent="0.3">
      <c r="A17" s="4" t="s">
        <v>19</v>
      </c>
      <c r="B17" s="5">
        <v>16660</v>
      </c>
      <c r="C17" s="5">
        <v>22079</v>
      </c>
      <c r="D17" s="5">
        <v>40547</v>
      </c>
      <c r="E17" s="5">
        <v>40613</v>
      </c>
      <c r="F17" s="5">
        <v>33786</v>
      </c>
    </row>
    <row r="18" spans="1:6" ht="15" customHeight="1" x14ac:dyDescent="0.3">
      <c r="A18" s="2" t="s">
        <v>20</v>
      </c>
      <c r="B18" s="7">
        <f>B16-B17</f>
        <v>23766</v>
      </c>
      <c r="C18" s="7">
        <f>C16-C17</f>
        <v>19757</v>
      </c>
      <c r="D18" s="7">
        <f>D16-D17</f>
        <v>63043</v>
      </c>
      <c r="E18" s="7">
        <f>E16-E17</f>
        <v>82152</v>
      </c>
      <c r="F18" s="7">
        <f>F16-F17</f>
        <v>73908</v>
      </c>
    </row>
    <row r="19" spans="1:6" ht="15" customHeight="1" x14ac:dyDescent="0.3">
      <c r="A19" s="50" t="s">
        <v>21</v>
      </c>
      <c r="B19" s="50"/>
      <c r="C19" s="50"/>
      <c r="D19" s="50"/>
      <c r="E19" s="50"/>
      <c r="F19" s="50"/>
    </row>
    <row r="21" spans="1:6" ht="18" customHeight="1" x14ac:dyDescent="0.3">
      <c r="A21" s="49" t="s">
        <v>22</v>
      </c>
      <c r="B21" s="49"/>
      <c r="C21" s="49"/>
      <c r="D21" s="49"/>
      <c r="E21" s="49"/>
      <c r="F21" s="49"/>
    </row>
    <row r="22" spans="1:6" ht="15" customHeight="1" x14ac:dyDescent="0.3">
      <c r="A22" s="2" t="s">
        <v>23</v>
      </c>
      <c r="B22" s="48">
        <v>0.3</v>
      </c>
      <c r="C22" s="48"/>
    </row>
    <row r="23" spans="1:6" ht="15" customHeight="1" x14ac:dyDescent="0.3">
      <c r="A23" s="4" t="s">
        <v>24</v>
      </c>
      <c r="B23" s="48">
        <v>0.12</v>
      </c>
      <c r="C23" s="48"/>
    </row>
    <row r="24" spans="1:6" ht="15" customHeight="1" x14ac:dyDescent="0.3">
      <c r="A24" s="2" t="s">
        <v>25</v>
      </c>
      <c r="B24" s="48">
        <v>0.1</v>
      </c>
      <c r="C24" s="48"/>
    </row>
    <row r="25" spans="1:6" ht="15" customHeight="1" x14ac:dyDescent="0.3">
      <c r="A25" s="4" t="s">
        <v>26</v>
      </c>
      <c r="B25" s="48">
        <v>0.14000000000000001</v>
      </c>
      <c r="C25" s="48"/>
    </row>
    <row r="26" spans="1:6" ht="15" customHeight="1" x14ac:dyDescent="0.3">
      <c r="A26" s="2" t="s">
        <v>27</v>
      </c>
      <c r="B26" s="48">
        <v>0.03</v>
      </c>
      <c r="C26" s="48"/>
    </row>
    <row r="27" spans="1:6" ht="15" customHeight="1" x14ac:dyDescent="0.3">
      <c r="A27" s="4" t="s">
        <v>28</v>
      </c>
      <c r="B27" s="43">
        <v>6.5</v>
      </c>
      <c r="C27" s="43"/>
    </row>
    <row r="29" spans="1:6" ht="15" customHeight="1" x14ac:dyDescent="0.3">
      <c r="A29" s="44" t="s">
        <v>29</v>
      </c>
      <c r="B29" s="44"/>
      <c r="C29" s="44"/>
      <c r="D29" s="44"/>
      <c r="E29" s="44"/>
      <c r="F29" s="44"/>
    </row>
    <row r="30" spans="1:6" ht="15" customHeight="1" x14ac:dyDescent="0.3">
      <c r="A30" s="45" t="s">
        <v>30</v>
      </c>
      <c r="B30" s="45"/>
      <c r="C30" s="45"/>
      <c r="D30" s="45"/>
      <c r="E30" s="45"/>
      <c r="F30" s="45"/>
    </row>
    <row r="31" spans="1:6" ht="15" customHeight="1" x14ac:dyDescent="0.3">
      <c r="A31" s="46" t="s">
        <v>31</v>
      </c>
      <c r="B31" s="46"/>
      <c r="C31" s="46"/>
      <c r="D31" s="46"/>
      <c r="E31" s="46"/>
      <c r="F31" s="46"/>
    </row>
    <row r="32" spans="1:6" ht="15" customHeight="1" x14ac:dyDescent="0.3">
      <c r="A32" s="47" t="s">
        <v>32</v>
      </c>
      <c r="B32" s="47"/>
      <c r="C32" s="47"/>
      <c r="D32" s="47"/>
      <c r="E32" s="47"/>
      <c r="F32" s="47"/>
    </row>
    <row r="33" spans="1:6" ht="15" customHeight="1" x14ac:dyDescent="0.3">
      <c r="A33" s="42" t="s">
        <v>33</v>
      </c>
      <c r="B33" s="42"/>
      <c r="C33" s="42"/>
      <c r="D33" s="42"/>
      <c r="E33" s="42"/>
      <c r="F33" s="42"/>
    </row>
  </sheetData>
  <mergeCells count="24">
    <mergeCell ref="A1:F1"/>
    <mergeCell ref="A2:F2"/>
    <mergeCell ref="A3:A4"/>
    <mergeCell ref="B3:B4"/>
    <mergeCell ref="C3:C4"/>
    <mergeCell ref="D3:D4"/>
    <mergeCell ref="E3:E4"/>
    <mergeCell ref="F3:F4"/>
    <mergeCell ref="A5:F5"/>
    <mergeCell ref="A11:F11"/>
    <mergeCell ref="A13:F13"/>
    <mergeCell ref="A19:F19"/>
    <mergeCell ref="A21:F21"/>
    <mergeCell ref="B22:C22"/>
    <mergeCell ref="B23:C23"/>
    <mergeCell ref="B24:C24"/>
    <mergeCell ref="B25:C25"/>
    <mergeCell ref="B26:C26"/>
    <mergeCell ref="A33:F33"/>
    <mergeCell ref="B27:C27"/>
    <mergeCell ref="A29:F29"/>
    <mergeCell ref="A30:F30"/>
    <mergeCell ref="A31:F31"/>
    <mergeCell ref="A32:F3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"/>
  <sheetViews>
    <sheetView showGridLines="0"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M7" sqref="M7"/>
    </sheetView>
  </sheetViews>
  <sheetFormatPr defaultColWidth="8.6640625" defaultRowHeight="14.4" x14ac:dyDescent="0.3"/>
  <cols>
    <col min="1" max="1" width="36" style="1" customWidth="1"/>
    <col min="2" max="7" width="13" style="1" customWidth="1"/>
    <col min="8" max="8" width="20" style="1" bestFit="1" customWidth="1"/>
  </cols>
  <sheetData>
    <row r="1" spans="1:8" ht="27.75" customHeight="1" x14ac:dyDescent="0.3">
      <c r="A1" s="54" t="s">
        <v>117</v>
      </c>
      <c r="B1" s="54"/>
      <c r="C1" s="54"/>
      <c r="D1" s="54"/>
      <c r="E1" s="54"/>
      <c r="F1" s="54"/>
      <c r="G1" s="54"/>
      <c r="H1" s="54"/>
    </row>
    <row r="2" spans="1:8" ht="15" customHeight="1" x14ac:dyDescent="0.3">
      <c r="A2" s="52" t="s">
        <v>34</v>
      </c>
      <c r="B2" s="52"/>
      <c r="C2" s="52"/>
      <c r="D2" s="52"/>
      <c r="E2" s="52"/>
      <c r="F2" s="52"/>
      <c r="G2" s="52"/>
      <c r="H2" s="52"/>
    </row>
    <row r="3" spans="1:8" ht="19.5" customHeight="1" x14ac:dyDescent="0.3">
      <c r="A3" s="9"/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35</v>
      </c>
      <c r="H3" s="9" t="s">
        <v>36</v>
      </c>
    </row>
    <row r="4" spans="1:8" ht="15" customHeight="1" x14ac:dyDescent="0.3">
      <c r="A4" s="10" t="s">
        <v>9</v>
      </c>
      <c r="B4" s="3">
        <v>120142</v>
      </c>
      <c r="C4" s="3">
        <v>141915</v>
      </c>
      <c r="D4" s="3">
        <v>178131</v>
      </c>
      <c r="E4" s="3">
        <v>187813</v>
      </c>
      <c r="F4" s="3">
        <v>171170</v>
      </c>
      <c r="G4" s="11">
        <f>(F4/B4)^(1/4)-1</f>
        <v>9.2529565151280746E-2</v>
      </c>
      <c r="H4" s="12" t="s">
        <v>37</v>
      </c>
    </row>
    <row r="5" spans="1:8" ht="15" customHeight="1" x14ac:dyDescent="0.3">
      <c r="A5" s="2" t="s">
        <v>38</v>
      </c>
      <c r="B5" s="13" t="s">
        <v>39</v>
      </c>
      <c r="C5" s="14">
        <f>(C4-B4)/B4</f>
        <v>0.18122721446288559</v>
      </c>
      <c r="D5" s="14">
        <f>(D4-C4)/C4</f>
        <v>0.25519501109819259</v>
      </c>
      <c r="E5" s="14">
        <f>(E4-D4)/D4</f>
        <v>5.435325687275095E-2</v>
      </c>
      <c r="F5" s="14">
        <f>(F4-E4)/E4</f>
        <v>-8.8614739128814304E-2</v>
      </c>
      <c r="G5" s="15"/>
      <c r="H5" s="12"/>
    </row>
    <row r="6" spans="1:8" ht="15" customHeight="1" x14ac:dyDescent="0.3">
      <c r="A6" s="2" t="s">
        <v>40</v>
      </c>
      <c r="B6" s="3">
        <v>68498</v>
      </c>
      <c r="C6" s="3">
        <v>80262</v>
      </c>
      <c r="D6" s="3">
        <v>117948</v>
      </c>
      <c r="E6" s="3">
        <v>122054</v>
      </c>
      <c r="F6" s="3">
        <v>98475</v>
      </c>
      <c r="G6" s="15"/>
      <c r="H6" s="12" t="s">
        <v>41</v>
      </c>
    </row>
    <row r="7" spans="1:8" ht="15" customHeight="1" x14ac:dyDescent="0.3">
      <c r="A7" s="10" t="s">
        <v>42</v>
      </c>
      <c r="B7" s="3">
        <v>51644</v>
      </c>
      <c r="C7" s="3">
        <v>61653</v>
      </c>
      <c r="D7" s="3">
        <v>60183</v>
      </c>
      <c r="E7" s="3">
        <v>65759</v>
      </c>
      <c r="F7" s="3">
        <v>72695</v>
      </c>
      <c r="G7" s="15"/>
      <c r="H7" s="12" t="s">
        <v>37</v>
      </c>
    </row>
    <row r="8" spans="1:8" ht="15" customHeight="1" x14ac:dyDescent="0.3">
      <c r="A8" s="2" t="s">
        <v>43</v>
      </c>
      <c r="B8" s="14">
        <f>B7/B4</f>
        <v>0.42985800136505137</v>
      </c>
      <c r="C8" s="14">
        <f>C7/C4</f>
        <v>0.4344361061198605</v>
      </c>
      <c r="D8" s="14">
        <f>D7/D4</f>
        <v>0.33785809320107113</v>
      </c>
      <c r="E8" s="14">
        <f>E7/E4</f>
        <v>0.35013018268170998</v>
      </c>
      <c r="F8" s="14">
        <f>F7/F4</f>
        <v>0.42469474791143308</v>
      </c>
      <c r="G8" s="15"/>
      <c r="H8" s="12"/>
    </row>
    <row r="9" spans="1:8" ht="15" customHeight="1" x14ac:dyDescent="0.3">
      <c r="A9" s="10" t="s">
        <v>10</v>
      </c>
      <c r="B9" s="3">
        <v>16683</v>
      </c>
      <c r="C9" s="3">
        <v>23440</v>
      </c>
      <c r="D9" s="3">
        <v>2568</v>
      </c>
      <c r="E9" s="3">
        <v>20874</v>
      </c>
      <c r="F9" s="3">
        <v>20779</v>
      </c>
      <c r="G9" s="15"/>
      <c r="H9" s="12" t="s">
        <v>37</v>
      </c>
    </row>
    <row r="10" spans="1:8" ht="15" customHeight="1" x14ac:dyDescent="0.3">
      <c r="A10" s="2" t="s">
        <v>44</v>
      </c>
      <c r="B10" s="14">
        <f>B9/B4</f>
        <v>0.13886068152685987</v>
      </c>
      <c r="C10" s="14">
        <f>C9/C4</f>
        <v>0.16516929147729276</v>
      </c>
      <c r="D10" s="14">
        <f>D9/D4</f>
        <v>1.4416356501675732E-2</v>
      </c>
      <c r="E10" s="14">
        <f>E9/E4</f>
        <v>0.11114246617646276</v>
      </c>
      <c r="F10" s="14">
        <f>F9/F4</f>
        <v>0.12139393585324532</v>
      </c>
      <c r="G10" s="15"/>
      <c r="H10" s="12"/>
    </row>
    <row r="11" spans="1:8" ht="15" customHeight="1" x14ac:dyDescent="0.3">
      <c r="A11" s="4" t="s">
        <v>11</v>
      </c>
      <c r="B11" s="5">
        <v>34538</v>
      </c>
      <c r="C11" s="5">
        <v>35782</v>
      </c>
      <c r="D11" s="5">
        <v>41095</v>
      </c>
      <c r="E11" s="5">
        <v>41044</v>
      </c>
      <c r="F11" s="5">
        <v>45497</v>
      </c>
      <c r="G11" s="15"/>
      <c r="H11" s="16" t="s">
        <v>45</v>
      </c>
    </row>
    <row r="12" spans="1:8" ht="15" customHeight="1" x14ac:dyDescent="0.3">
      <c r="A12" s="17" t="s">
        <v>12</v>
      </c>
      <c r="B12" s="7">
        <f>B9+B11</f>
        <v>51221</v>
      </c>
      <c r="C12" s="7">
        <f>C9+C11</f>
        <v>59222</v>
      </c>
      <c r="D12" s="7">
        <f>D9+D11</f>
        <v>43663</v>
      </c>
      <c r="E12" s="7">
        <f>E9+E11</f>
        <v>61918</v>
      </c>
      <c r="F12" s="7">
        <f>F9+F11</f>
        <v>66276</v>
      </c>
      <c r="G12" s="11">
        <f>(F12/B12)^(1/4)-1</f>
        <v>6.6539781401382392E-2</v>
      </c>
      <c r="H12" s="18" t="s">
        <v>46</v>
      </c>
    </row>
    <row r="13" spans="1:8" ht="15" customHeight="1" x14ac:dyDescent="0.3">
      <c r="A13" s="2" t="s">
        <v>47</v>
      </c>
      <c r="B13" s="14">
        <f>B12/B4</f>
        <v>0.4263371676849062</v>
      </c>
      <c r="C13" s="14">
        <f>C12/C4</f>
        <v>0.41730613395342281</v>
      </c>
      <c r="D13" s="14">
        <f>D12/D4</f>
        <v>0.24511735745041571</v>
      </c>
      <c r="E13" s="14">
        <f>E12/E4</f>
        <v>0.32967898920734984</v>
      </c>
      <c r="F13" s="14">
        <f>F12/F4</f>
        <v>0.3871940176432786</v>
      </c>
      <c r="G13" s="15"/>
      <c r="H13" s="12"/>
    </row>
    <row r="14" spans="1:8" ht="15" customHeight="1" x14ac:dyDescent="0.3">
      <c r="A14" s="10" t="s">
        <v>13</v>
      </c>
      <c r="B14" s="3">
        <v>12003</v>
      </c>
      <c r="C14" s="3">
        <v>17019</v>
      </c>
      <c r="D14" s="8">
        <v>-33409</v>
      </c>
      <c r="E14" s="3">
        <v>20113</v>
      </c>
      <c r="F14" s="3">
        <v>12435</v>
      </c>
      <c r="G14" s="19" t="s">
        <v>48</v>
      </c>
      <c r="H14" s="12" t="s">
        <v>37</v>
      </c>
    </row>
    <row r="15" spans="1:8" ht="15" customHeight="1" x14ac:dyDescent="0.3">
      <c r="A15" s="2" t="s">
        <v>49</v>
      </c>
      <c r="B15" s="14">
        <f>B14/B4</f>
        <v>9.9906776980572987E-2</v>
      </c>
      <c r="C15" s="14">
        <f>C14/C4</f>
        <v>0.11992389810802241</v>
      </c>
      <c r="D15" s="14">
        <f>D14/D4</f>
        <v>-0.18755298067152826</v>
      </c>
      <c r="E15" s="14">
        <f>E14/E4</f>
        <v>0.10709056348602067</v>
      </c>
      <c r="F15" s="14">
        <f>F14/F4</f>
        <v>7.2647076006309513E-2</v>
      </c>
      <c r="G15" s="15"/>
      <c r="H15" s="12"/>
    </row>
    <row r="17" spans="1:8" ht="30" customHeight="1" x14ac:dyDescent="0.3">
      <c r="A17" s="55" t="s">
        <v>50</v>
      </c>
      <c r="B17" s="55"/>
      <c r="C17" s="55"/>
      <c r="D17" s="55"/>
      <c r="E17" s="55"/>
      <c r="F17" s="55"/>
      <c r="G17" s="55"/>
      <c r="H17" s="55"/>
    </row>
  </sheetData>
  <mergeCells count="3">
    <mergeCell ref="A1:H1"/>
    <mergeCell ref="A2:H2"/>
    <mergeCell ref="A17:H1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9"/>
  <sheetViews>
    <sheetView showGridLines="0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G1"/>
    </sheetView>
  </sheetViews>
  <sheetFormatPr defaultColWidth="8.6640625" defaultRowHeight="14.4" x14ac:dyDescent="0.3"/>
  <cols>
    <col min="1" max="1" width="36" style="1" customWidth="1"/>
    <col min="2" max="6" width="13" style="1" customWidth="1"/>
    <col min="7" max="7" width="18.109375" style="1" bestFit="1" customWidth="1"/>
  </cols>
  <sheetData>
    <row r="1" spans="1:7" ht="27.75" customHeight="1" x14ac:dyDescent="0.3">
      <c r="A1" s="54" t="s">
        <v>51</v>
      </c>
      <c r="B1" s="54"/>
      <c r="C1" s="54"/>
      <c r="D1" s="54"/>
      <c r="E1" s="54"/>
      <c r="F1" s="54"/>
      <c r="G1" s="54"/>
    </row>
    <row r="2" spans="1:7" ht="15" customHeight="1" x14ac:dyDescent="0.3">
      <c r="A2" s="52" t="s">
        <v>52</v>
      </c>
      <c r="B2" s="52"/>
      <c r="C2" s="52"/>
      <c r="D2" s="52"/>
      <c r="E2" s="52"/>
      <c r="F2" s="52"/>
      <c r="G2" s="52"/>
    </row>
    <row r="3" spans="1:7" ht="19.5" customHeight="1" x14ac:dyDescent="0.3">
      <c r="A3" s="9" t="s">
        <v>53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54</v>
      </c>
    </row>
    <row r="4" spans="1:7" ht="18" customHeight="1" x14ac:dyDescent="0.3">
      <c r="A4" s="49" t="s">
        <v>55</v>
      </c>
      <c r="B4" s="49"/>
      <c r="C4" s="49"/>
      <c r="D4" s="49"/>
      <c r="E4" s="49"/>
      <c r="F4" s="49"/>
      <c r="G4" s="49"/>
    </row>
    <row r="5" spans="1:7" ht="15" customHeight="1" x14ac:dyDescent="0.3">
      <c r="A5" s="4" t="s">
        <v>56</v>
      </c>
      <c r="B5" s="20">
        <v>0.4299</v>
      </c>
      <c r="C5" s="20">
        <v>0.43440000000000001</v>
      </c>
      <c r="D5" s="20">
        <v>0.33789999999999998</v>
      </c>
      <c r="E5" s="20">
        <v>0.35010000000000002</v>
      </c>
      <c r="F5" s="20">
        <v>0.42470000000000002</v>
      </c>
      <c r="G5" s="21" t="s">
        <v>57</v>
      </c>
    </row>
    <row r="6" spans="1:7" ht="15" customHeight="1" x14ac:dyDescent="0.3">
      <c r="A6" s="2" t="s">
        <v>58</v>
      </c>
      <c r="B6" s="14">
        <v>0.42630000000000001</v>
      </c>
      <c r="C6" s="14">
        <v>0.4173</v>
      </c>
      <c r="D6" s="14">
        <v>0.24510000000000001</v>
      </c>
      <c r="E6" s="14">
        <v>0.32969999999999999</v>
      </c>
      <c r="F6" s="14">
        <v>0.38719999999999999</v>
      </c>
      <c r="G6" s="21" t="s">
        <v>59</v>
      </c>
    </row>
    <row r="7" spans="1:7" ht="15" customHeight="1" x14ac:dyDescent="0.3">
      <c r="A7" s="4" t="s">
        <v>60</v>
      </c>
      <c r="B7" s="20">
        <v>0.1389</v>
      </c>
      <c r="C7" s="20">
        <v>0.16520000000000001</v>
      </c>
      <c r="D7" s="20">
        <v>1.44E-2</v>
      </c>
      <c r="E7" s="20">
        <v>0.1111</v>
      </c>
      <c r="F7" s="20">
        <v>0.12139999999999999</v>
      </c>
      <c r="G7" s="21" t="s">
        <v>61</v>
      </c>
    </row>
    <row r="8" spans="1:7" ht="15" customHeight="1" x14ac:dyDescent="0.3">
      <c r="A8" s="2" t="s">
        <v>62</v>
      </c>
      <c r="B8" s="14">
        <v>9.9900000000000003E-2</v>
      </c>
      <c r="C8" s="14">
        <v>0.11990000000000001</v>
      </c>
      <c r="D8" s="22">
        <v>-0.18759999999999999</v>
      </c>
      <c r="E8" s="14">
        <v>0.1071</v>
      </c>
      <c r="F8" s="14">
        <v>7.2599999999999998E-2</v>
      </c>
      <c r="G8" s="21" t="s">
        <v>63</v>
      </c>
    </row>
    <row r="9" spans="1:7" ht="18" customHeight="1" x14ac:dyDescent="0.3">
      <c r="A9" s="49" t="s">
        <v>64</v>
      </c>
      <c r="B9" s="49"/>
      <c r="C9" s="49"/>
      <c r="D9" s="49"/>
      <c r="E9" s="49"/>
      <c r="F9" s="49"/>
      <c r="G9" s="49"/>
    </row>
    <row r="10" spans="1:7" ht="15" customHeight="1" x14ac:dyDescent="0.3">
      <c r="A10" s="2" t="s">
        <v>65</v>
      </c>
      <c r="B10" s="23">
        <v>40426</v>
      </c>
      <c r="C10" s="23">
        <v>41836</v>
      </c>
      <c r="D10" s="23">
        <v>103590</v>
      </c>
      <c r="E10" s="23">
        <v>122765</v>
      </c>
      <c r="F10" s="23">
        <v>107694</v>
      </c>
      <c r="G10" s="21"/>
    </row>
    <row r="11" spans="1:7" ht="15" customHeight="1" x14ac:dyDescent="0.3">
      <c r="A11" s="4" t="s">
        <v>66</v>
      </c>
      <c r="B11" s="24">
        <v>82203</v>
      </c>
      <c r="C11" s="24">
        <v>93515</v>
      </c>
      <c r="D11" s="24">
        <v>45150</v>
      </c>
      <c r="E11" s="24">
        <v>66337</v>
      </c>
      <c r="F11" s="24">
        <v>78280</v>
      </c>
      <c r="G11" s="21"/>
    </row>
    <row r="12" spans="1:7" ht="15" customHeight="1" x14ac:dyDescent="0.3">
      <c r="A12" s="2" t="s">
        <v>67</v>
      </c>
      <c r="B12" s="25">
        <v>0.49180000000000001</v>
      </c>
      <c r="C12" s="25">
        <v>0.44740000000000002</v>
      </c>
      <c r="D12" s="25">
        <v>2.2944</v>
      </c>
      <c r="E12" s="25">
        <v>1.8506</v>
      </c>
      <c r="F12" s="25">
        <v>1.3757999999999999</v>
      </c>
      <c r="G12" s="21" t="s">
        <v>68</v>
      </c>
    </row>
    <row r="13" spans="1:7" ht="15" customHeight="1" x14ac:dyDescent="0.3">
      <c r="A13" s="4" t="s">
        <v>69</v>
      </c>
      <c r="B13" s="24">
        <v>23766</v>
      </c>
      <c r="C13" s="24">
        <v>19757</v>
      </c>
      <c r="D13" s="24">
        <v>63043</v>
      </c>
      <c r="E13" s="24">
        <v>82152</v>
      </c>
      <c r="F13" s="24">
        <v>73908</v>
      </c>
      <c r="G13" s="21"/>
    </row>
    <row r="14" spans="1:7" ht="15" customHeight="1" x14ac:dyDescent="0.3">
      <c r="A14" s="2" t="s">
        <v>70</v>
      </c>
      <c r="B14" s="25">
        <v>0.46400000000000002</v>
      </c>
      <c r="C14" s="25">
        <v>0.33360000000000001</v>
      </c>
      <c r="D14" s="25">
        <v>1.4439</v>
      </c>
      <c r="E14" s="25">
        <v>1.3268</v>
      </c>
      <c r="F14" s="25">
        <v>1.1152</v>
      </c>
      <c r="G14" s="21" t="s">
        <v>71</v>
      </c>
    </row>
    <row r="15" spans="1:7" ht="18" customHeight="1" x14ac:dyDescent="0.3">
      <c r="A15" s="49" t="s">
        <v>72</v>
      </c>
      <c r="B15" s="49"/>
      <c r="C15" s="49"/>
      <c r="D15" s="49"/>
      <c r="E15" s="49"/>
      <c r="F15" s="49"/>
      <c r="G15" s="49"/>
    </row>
    <row r="16" spans="1:7" ht="15" customHeight="1" x14ac:dyDescent="0.3">
      <c r="A16" s="2" t="s">
        <v>73</v>
      </c>
      <c r="B16" s="23">
        <v>187693</v>
      </c>
      <c r="C16" s="23">
        <v>219000</v>
      </c>
      <c r="D16" s="23">
        <v>267150</v>
      </c>
      <c r="E16" s="23">
        <v>286247</v>
      </c>
      <c r="F16" s="23">
        <v>309147</v>
      </c>
      <c r="G16" s="21"/>
    </row>
    <row r="17" spans="1:7" ht="15" customHeight="1" x14ac:dyDescent="0.3">
      <c r="A17" s="4" t="s">
        <v>74</v>
      </c>
      <c r="B17" s="26">
        <v>0.6401</v>
      </c>
      <c r="C17" s="26">
        <v>0.64800000000000002</v>
      </c>
      <c r="D17" s="26">
        <v>0.66679999999999995</v>
      </c>
      <c r="E17" s="26">
        <v>0.65610000000000002</v>
      </c>
      <c r="F17" s="26">
        <v>0.55369999999999997</v>
      </c>
      <c r="G17" s="21" t="s">
        <v>75</v>
      </c>
    </row>
    <row r="18" spans="1:7" ht="15" customHeight="1" x14ac:dyDescent="0.3">
      <c r="A18" s="2" t="s">
        <v>76</v>
      </c>
      <c r="B18" s="14">
        <v>6.4000000000000001E-2</v>
      </c>
      <c r="C18" s="14">
        <v>7.7700000000000005E-2</v>
      </c>
      <c r="D18" s="22">
        <v>-0.12509999999999999</v>
      </c>
      <c r="E18" s="14">
        <v>7.0300000000000001E-2</v>
      </c>
      <c r="F18" s="14">
        <v>4.02E-2</v>
      </c>
      <c r="G18" s="21"/>
    </row>
    <row r="19" spans="1:7" ht="15" customHeight="1" x14ac:dyDescent="0.3">
      <c r="A19" s="4" t="s">
        <v>77</v>
      </c>
      <c r="B19" s="20">
        <v>0.14599999999999999</v>
      </c>
      <c r="C19" s="20">
        <v>0.182</v>
      </c>
      <c r="D19" s="27">
        <v>-0.74</v>
      </c>
      <c r="E19" s="20">
        <v>0.30320000000000003</v>
      </c>
      <c r="F19" s="20">
        <v>0.15890000000000001</v>
      </c>
      <c r="G19" s="21"/>
    </row>
  </sheetData>
  <mergeCells count="5">
    <mergeCell ref="A1:G1"/>
    <mergeCell ref="A2:G2"/>
    <mergeCell ref="A4:G4"/>
    <mergeCell ref="A9:G9"/>
    <mergeCell ref="A15:G1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9"/>
  <sheetViews>
    <sheetView showGridLines="0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8.6640625" defaultRowHeight="14.4" x14ac:dyDescent="0.3"/>
  <cols>
    <col min="1" max="1" width="34" style="1" customWidth="1"/>
    <col min="2" max="9" width="13" style="1" customWidth="1"/>
  </cols>
  <sheetData>
    <row r="1" spans="1:12" ht="27.75" customHeight="1" x14ac:dyDescent="0.3">
      <c r="A1" s="54" t="s">
        <v>78</v>
      </c>
      <c r="B1" s="54"/>
      <c r="C1" s="54"/>
      <c r="D1" s="54"/>
      <c r="E1" s="54"/>
      <c r="F1" s="54"/>
      <c r="G1" s="54"/>
      <c r="H1" s="54"/>
      <c r="I1" s="54"/>
    </row>
    <row r="2" spans="1:12" ht="15" customHeight="1" x14ac:dyDescent="0.3">
      <c r="A2" s="52" t="s">
        <v>79</v>
      </c>
      <c r="B2" s="52"/>
      <c r="C2" s="52"/>
      <c r="D2" s="52"/>
      <c r="E2" s="52"/>
      <c r="F2" s="52"/>
      <c r="G2" s="52"/>
      <c r="H2" s="52"/>
      <c r="I2" s="52"/>
    </row>
    <row r="4" spans="1:12" ht="18" customHeight="1" x14ac:dyDescent="0.3">
      <c r="A4" s="49" t="s">
        <v>80</v>
      </c>
      <c r="B4" s="49"/>
      <c r="C4" s="49"/>
      <c r="D4" s="49"/>
      <c r="E4" s="49"/>
      <c r="F4" s="49"/>
      <c r="G4" s="49"/>
      <c r="H4" s="49"/>
      <c r="I4" s="49"/>
    </row>
    <row r="5" spans="1:12" ht="15" customHeight="1" x14ac:dyDescent="0.3">
      <c r="A5" s="28" t="s">
        <v>81</v>
      </c>
      <c r="B5" s="29" t="s">
        <v>82</v>
      </c>
      <c r="C5" s="30" t="s">
        <v>83</v>
      </c>
      <c r="D5" s="31" t="s">
        <v>84</v>
      </c>
    </row>
    <row r="6" spans="1:12" ht="15" customHeight="1" x14ac:dyDescent="0.3">
      <c r="A6" s="4" t="s">
        <v>85</v>
      </c>
      <c r="B6" s="32">
        <v>0.12</v>
      </c>
      <c r="C6" s="32">
        <v>0.06</v>
      </c>
      <c r="D6" s="32">
        <v>0</v>
      </c>
    </row>
    <row r="7" spans="1:12" ht="15" customHeight="1" x14ac:dyDescent="0.3">
      <c r="A7" s="4" t="s">
        <v>86</v>
      </c>
      <c r="B7" s="32">
        <v>0.1</v>
      </c>
      <c r="C7" s="32">
        <v>0.05</v>
      </c>
      <c r="D7" s="32">
        <v>0.02</v>
      </c>
    </row>
    <row r="8" spans="1:12" ht="15" customHeight="1" x14ac:dyDescent="0.3">
      <c r="A8" s="4" t="s">
        <v>87</v>
      </c>
      <c r="B8" s="32">
        <v>0.4</v>
      </c>
      <c r="C8" s="32">
        <v>0.37</v>
      </c>
      <c r="D8" s="32">
        <v>0.32</v>
      </c>
    </row>
    <row r="9" spans="1:12" ht="15" customHeight="1" x14ac:dyDescent="0.3">
      <c r="A9" s="4" t="s">
        <v>88</v>
      </c>
      <c r="B9" s="32">
        <v>0.1</v>
      </c>
      <c r="C9" s="32">
        <v>0.12</v>
      </c>
      <c r="D9" s="32">
        <v>0.14000000000000001</v>
      </c>
    </row>
    <row r="10" spans="1:12" ht="15" customHeight="1" x14ac:dyDescent="0.3">
      <c r="A10" s="4" t="s">
        <v>27</v>
      </c>
      <c r="B10" s="32">
        <v>0.04</v>
      </c>
      <c r="C10" s="32">
        <v>0.03</v>
      </c>
      <c r="D10" s="32">
        <v>0.02</v>
      </c>
    </row>
    <row r="11" spans="1:12" ht="15" customHeight="1" x14ac:dyDescent="0.3">
      <c r="A11" s="4" t="s">
        <v>89</v>
      </c>
      <c r="B11" s="32">
        <v>0.18</v>
      </c>
      <c r="C11" s="32">
        <v>0.2</v>
      </c>
      <c r="D11" s="32">
        <v>0.22</v>
      </c>
    </row>
    <row r="13" spans="1:12" ht="15" customHeight="1" x14ac:dyDescent="0.3">
      <c r="A13" s="33"/>
      <c r="B13" s="62" t="s">
        <v>90</v>
      </c>
      <c r="C13" s="62"/>
      <c r="D13" s="62"/>
      <c r="E13" s="63" t="s">
        <v>91</v>
      </c>
      <c r="F13" s="63"/>
      <c r="G13" s="63"/>
      <c r="H13" s="64" t="s">
        <v>92</v>
      </c>
      <c r="I13" s="64"/>
      <c r="J13" s="64"/>
    </row>
    <row r="14" spans="1:12" ht="15" customHeight="1" x14ac:dyDescent="0.3">
      <c r="A14" s="33"/>
      <c r="B14" s="34" t="s">
        <v>93</v>
      </c>
      <c r="C14" s="34" t="s">
        <v>94</v>
      </c>
      <c r="D14" s="34" t="s">
        <v>95</v>
      </c>
      <c r="E14" s="34" t="s">
        <v>96</v>
      </c>
      <c r="F14" s="34" t="s">
        <v>97</v>
      </c>
    </row>
    <row r="15" spans="1:12" ht="15" customHeight="1" x14ac:dyDescent="0.3">
      <c r="A15" s="6" t="s">
        <v>98</v>
      </c>
      <c r="B15" s="24">
        <v>191710</v>
      </c>
      <c r="C15" s="24">
        <v>210881</v>
      </c>
      <c r="D15" s="24">
        <v>231970</v>
      </c>
      <c r="E15" s="24">
        <v>181440</v>
      </c>
      <c r="F15" s="24">
        <v>190512</v>
      </c>
      <c r="G15" s="24">
        <v>200038</v>
      </c>
      <c r="H15" s="24">
        <v>171170</v>
      </c>
      <c r="I15" s="24">
        <v>174593</v>
      </c>
      <c r="J15" s="24">
        <v>178085</v>
      </c>
      <c r="K15" s="24">
        <v>181647</v>
      </c>
      <c r="L15" s="24">
        <v>185280</v>
      </c>
    </row>
    <row r="16" spans="1:12" ht="15" customHeight="1" x14ac:dyDescent="0.3">
      <c r="A16" s="2" t="s">
        <v>99</v>
      </c>
      <c r="B16" s="23">
        <v>76684</v>
      </c>
      <c r="C16" s="23">
        <v>84353</v>
      </c>
      <c r="D16" s="23">
        <v>92788</v>
      </c>
      <c r="E16" s="23">
        <v>67133</v>
      </c>
      <c r="F16" s="23">
        <v>70490</v>
      </c>
      <c r="G16" s="23">
        <v>74014</v>
      </c>
      <c r="H16" s="23">
        <v>54774</v>
      </c>
      <c r="I16" s="23">
        <v>55870</v>
      </c>
      <c r="J16" s="23">
        <v>56987</v>
      </c>
      <c r="K16" s="23">
        <v>58127</v>
      </c>
      <c r="L16" s="23">
        <v>59290</v>
      </c>
    </row>
    <row r="17" spans="1:12" ht="15" customHeight="1" x14ac:dyDescent="0.3">
      <c r="A17" s="4" t="s">
        <v>100</v>
      </c>
      <c r="B17" s="24">
        <v>34508</v>
      </c>
      <c r="C17" s="24">
        <v>37959</v>
      </c>
      <c r="D17" s="24">
        <v>41755</v>
      </c>
      <c r="E17" s="24">
        <v>36288</v>
      </c>
      <c r="F17" s="24">
        <v>38102</v>
      </c>
      <c r="G17" s="24">
        <v>40008</v>
      </c>
      <c r="H17" s="24">
        <v>37657</v>
      </c>
      <c r="I17" s="24">
        <v>38410</v>
      </c>
      <c r="J17" s="24">
        <v>39179</v>
      </c>
      <c r="K17" s="24">
        <v>39962</v>
      </c>
      <c r="L17" s="24">
        <v>40762</v>
      </c>
    </row>
    <row r="18" spans="1:12" ht="15" customHeight="1" x14ac:dyDescent="0.3">
      <c r="A18" s="10" t="s">
        <v>101</v>
      </c>
      <c r="B18" s="23">
        <v>34124</v>
      </c>
      <c r="C18" s="23">
        <v>37537</v>
      </c>
      <c r="D18" s="23">
        <v>41291</v>
      </c>
      <c r="E18" s="23">
        <v>24857</v>
      </c>
      <c r="F18" s="23">
        <v>26100</v>
      </c>
      <c r="G18" s="23">
        <v>27405</v>
      </c>
      <c r="H18" s="23">
        <v>14036</v>
      </c>
      <c r="I18" s="23">
        <v>14317</v>
      </c>
      <c r="J18" s="23">
        <v>14603</v>
      </c>
      <c r="K18" s="23">
        <v>14895</v>
      </c>
      <c r="L18" s="23">
        <v>15193</v>
      </c>
    </row>
    <row r="21" spans="1:12" ht="18" customHeight="1" x14ac:dyDescent="0.3">
      <c r="A21" s="49" t="s">
        <v>102</v>
      </c>
      <c r="B21" s="49"/>
      <c r="C21" s="49"/>
      <c r="D21" s="49"/>
      <c r="E21" s="49"/>
      <c r="F21" s="49"/>
      <c r="G21" s="49"/>
      <c r="H21" s="49"/>
      <c r="I21" s="49"/>
    </row>
    <row r="22" spans="1:12" ht="15" customHeight="1" x14ac:dyDescent="0.3">
      <c r="A22" s="2" t="s">
        <v>103</v>
      </c>
      <c r="B22" s="61">
        <v>155112</v>
      </c>
      <c r="C22" s="61"/>
      <c r="D22" s="61"/>
      <c r="E22" s="61">
        <v>97938</v>
      </c>
      <c r="F22" s="61"/>
      <c r="G22" s="61"/>
      <c r="H22" s="61">
        <v>49895</v>
      </c>
      <c r="I22" s="61"/>
      <c r="J22" s="61"/>
    </row>
    <row r="23" spans="1:12" ht="15" customHeight="1" x14ac:dyDescent="0.3">
      <c r="A23" s="4" t="s">
        <v>104</v>
      </c>
      <c r="B23" s="60">
        <v>537723</v>
      </c>
      <c r="C23" s="60"/>
      <c r="D23" s="60"/>
      <c r="E23" s="60">
        <v>196206</v>
      </c>
      <c r="F23" s="60"/>
      <c r="G23" s="60"/>
      <c r="H23" s="60">
        <v>67072</v>
      </c>
      <c r="I23" s="60"/>
      <c r="J23" s="60"/>
    </row>
    <row r="24" spans="1:12" ht="15" customHeight="1" x14ac:dyDescent="0.3">
      <c r="A24" s="10" t="s">
        <v>105</v>
      </c>
      <c r="B24" s="59">
        <v>692834</v>
      </c>
      <c r="C24" s="59"/>
      <c r="D24" s="59"/>
      <c r="E24" s="59">
        <v>294144</v>
      </c>
      <c r="F24" s="59"/>
      <c r="G24" s="59"/>
      <c r="H24" s="59">
        <v>116967</v>
      </c>
      <c r="I24" s="59"/>
      <c r="J24" s="59"/>
    </row>
    <row r="25" spans="1:12" ht="15" customHeight="1" x14ac:dyDescent="0.3">
      <c r="A25" s="4" t="s">
        <v>106</v>
      </c>
      <c r="B25" s="60">
        <v>73908</v>
      </c>
      <c r="C25" s="60"/>
      <c r="D25" s="60"/>
      <c r="E25" s="60">
        <v>73908</v>
      </c>
      <c r="F25" s="60"/>
      <c r="G25" s="60"/>
      <c r="H25" s="60">
        <v>73908</v>
      </c>
      <c r="I25" s="60"/>
      <c r="J25" s="60"/>
    </row>
    <row r="26" spans="1:12" ht="15" customHeight="1" x14ac:dyDescent="0.3">
      <c r="A26" s="10" t="s">
        <v>107</v>
      </c>
      <c r="B26" s="57">
        <v>618926</v>
      </c>
      <c r="C26" s="57"/>
      <c r="D26" s="57"/>
      <c r="E26" s="57">
        <v>220236</v>
      </c>
      <c r="F26" s="57"/>
      <c r="G26" s="57"/>
      <c r="H26" s="57">
        <v>43059</v>
      </c>
      <c r="I26" s="57"/>
      <c r="J26" s="57"/>
    </row>
    <row r="27" spans="1:12" ht="15" customHeight="1" x14ac:dyDescent="0.3">
      <c r="A27" s="6" t="s">
        <v>108</v>
      </c>
      <c r="B27" s="58">
        <v>75.48</v>
      </c>
      <c r="C27" s="58"/>
      <c r="D27" s="58"/>
      <c r="E27" s="58">
        <v>26.86</v>
      </c>
      <c r="F27" s="58"/>
      <c r="G27" s="58"/>
      <c r="H27" s="58">
        <v>5.25</v>
      </c>
      <c r="I27" s="58"/>
      <c r="J27" s="58"/>
    </row>
    <row r="29" spans="1:12" ht="24.75" customHeight="1" x14ac:dyDescent="0.3">
      <c r="A29" s="56" t="s">
        <v>109</v>
      </c>
      <c r="B29" s="56"/>
      <c r="C29" s="56"/>
      <c r="D29" s="56"/>
      <c r="E29" s="56"/>
      <c r="F29" s="56"/>
      <c r="G29" s="56"/>
      <c r="H29" s="56"/>
      <c r="I29" s="56"/>
    </row>
  </sheetData>
  <mergeCells count="26">
    <mergeCell ref="A1:I1"/>
    <mergeCell ref="A2:I2"/>
    <mergeCell ref="A4:I4"/>
    <mergeCell ref="B13:D13"/>
    <mergeCell ref="E13:G13"/>
    <mergeCell ref="H13:J13"/>
    <mergeCell ref="A21:I21"/>
    <mergeCell ref="B22:D22"/>
    <mergeCell ref="E22:G22"/>
    <mergeCell ref="H22:J22"/>
    <mergeCell ref="B23:D23"/>
    <mergeCell ref="E23:G23"/>
    <mergeCell ref="H23:J23"/>
    <mergeCell ref="B24:D24"/>
    <mergeCell ref="E24:G24"/>
    <mergeCell ref="H24:J24"/>
    <mergeCell ref="B25:D25"/>
    <mergeCell ref="E25:G25"/>
    <mergeCell ref="H25:J25"/>
    <mergeCell ref="A29:I29"/>
    <mergeCell ref="B26:D26"/>
    <mergeCell ref="E26:G26"/>
    <mergeCell ref="H26:J26"/>
    <mergeCell ref="B27:D27"/>
    <mergeCell ref="E27:G27"/>
    <mergeCell ref="H27:J27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"/>
  <sheetViews>
    <sheetView showGridLines="0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8.6640625" defaultRowHeight="14.4" x14ac:dyDescent="0.3"/>
  <cols>
    <col min="1" max="1" width="30" style="1" customWidth="1"/>
    <col min="2" max="7" width="14" style="1" customWidth="1"/>
  </cols>
  <sheetData>
    <row r="1" spans="1:7" ht="27.75" customHeight="1" x14ac:dyDescent="0.3">
      <c r="A1" s="54" t="s">
        <v>110</v>
      </c>
      <c r="B1" s="54"/>
      <c r="C1" s="54"/>
      <c r="D1" s="54"/>
      <c r="E1" s="54"/>
      <c r="F1" s="54"/>
      <c r="G1" s="54"/>
    </row>
    <row r="2" spans="1:7" ht="15" customHeight="1" x14ac:dyDescent="0.3">
      <c r="A2" s="52" t="s">
        <v>111</v>
      </c>
      <c r="B2" s="52"/>
      <c r="C2" s="52"/>
      <c r="D2" s="52"/>
      <c r="E2" s="52"/>
      <c r="F2" s="52"/>
      <c r="G2" s="52"/>
    </row>
    <row r="3" spans="1:7" ht="15" customHeight="1" x14ac:dyDescent="0.3">
      <c r="A3" s="9"/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112</v>
      </c>
    </row>
    <row r="4" spans="1:7" ht="15" customHeight="1" x14ac:dyDescent="0.3">
      <c r="A4" s="10" t="s">
        <v>98</v>
      </c>
      <c r="B4" s="35">
        <v>120142</v>
      </c>
      <c r="C4" s="35">
        <v>141915</v>
      </c>
      <c r="D4" s="35">
        <v>178131</v>
      </c>
      <c r="E4" s="35">
        <v>187813</v>
      </c>
      <c r="F4" s="35">
        <v>171170</v>
      </c>
      <c r="G4" s="36">
        <v>799171</v>
      </c>
    </row>
    <row r="5" spans="1:7" ht="15" customHeight="1" x14ac:dyDescent="0.3">
      <c r="A5" s="4" t="s">
        <v>113</v>
      </c>
      <c r="B5" s="37" t="s">
        <v>39</v>
      </c>
      <c r="C5" s="24">
        <v>21773</v>
      </c>
      <c r="D5" s="24">
        <v>36216</v>
      </c>
      <c r="E5" s="24">
        <v>9682</v>
      </c>
      <c r="F5" s="38">
        <v>-16643</v>
      </c>
      <c r="G5" s="36" t="s">
        <v>39</v>
      </c>
    </row>
    <row r="6" spans="1:7" ht="15" customHeight="1" x14ac:dyDescent="0.3">
      <c r="A6" s="2" t="s">
        <v>114</v>
      </c>
      <c r="B6" s="39" t="s">
        <v>39</v>
      </c>
      <c r="C6" s="14">
        <v>0.181227214462886</v>
      </c>
      <c r="D6" s="14">
        <v>0.25519501109819298</v>
      </c>
      <c r="E6" s="14">
        <v>5.4353256872750999E-2</v>
      </c>
      <c r="F6" s="22">
        <v>-8.8614739128814304E-2</v>
      </c>
      <c r="G6" s="40" t="s">
        <v>39</v>
      </c>
    </row>
    <row r="7" spans="1:7" ht="15" customHeight="1" x14ac:dyDescent="0.3">
      <c r="A7" s="6" t="s">
        <v>99</v>
      </c>
      <c r="B7" s="41">
        <v>51221</v>
      </c>
      <c r="C7" s="41">
        <v>59222</v>
      </c>
      <c r="D7" s="41">
        <v>43663</v>
      </c>
      <c r="E7" s="41">
        <v>61918</v>
      </c>
      <c r="F7" s="41">
        <v>66275</v>
      </c>
      <c r="G7" s="36">
        <v>282299</v>
      </c>
    </row>
    <row r="8" spans="1:7" ht="15" customHeight="1" x14ac:dyDescent="0.3">
      <c r="A8" s="2" t="s">
        <v>58</v>
      </c>
      <c r="B8" s="14">
        <v>0.42633716768490598</v>
      </c>
      <c r="C8" s="14">
        <v>0.41730613395342298</v>
      </c>
      <c r="D8" s="14">
        <v>0.24511735745041599</v>
      </c>
      <c r="E8" s="14">
        <v>0.32967898920735</v>
      </c>
      <c r="F8" s="14">
        <v>0.38718817549804302</v>
      </c>
      <c r="G8" s="40" t="s">
        <v>39</v>
      </c>
    </row>
    <row r="9" spans="1:7" ht="15" customHeight="1" x14ac:dyDescent="0.3">
      <c r="A9" s="4" t="s">
        <v>115</v>
      </c>
      <c r="B9" s="37" t="s">
        <v>39</v>
      </c>
      <c r="C9" s="24">
        <v>8001</v>
      </c>
      <c r="D9" s="38">
        <v>-15559</v>
      </c>
      <c r="E9" s="24">
        <v>18255</v>
      </c>
      <c r="F9" s="24">
        <v>4357</v>
      </c>
      <c r="G9" s="36" t="s">
        <v>39</v>
      </c>
    </row>
    <row r="11" spans="1:7" ht="34.5" customHeight="1" x14ac:dyDescent="0.3">
      <c r="A11" s="65" t="s">
        <v>116</v>
      </c>
      <c r="B11" s="65"/>
      <c r="C11" s="65"/>
      <c r="D11" s="65"/>
      <c r="E11" s="65"/>
      <c r="F11" s="65"/>
      <c r="G11" s="65"/>
    </row>
  </sheetData>
  <mergeCells count="3">
    <mergeCell ref="A1:G1"/>
    <mergeCell ref="A2:G2"/>
    <mergeCell ref="A11:G1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Assumptions</vt:lpstr>
      <vt:lpstr>Income Statement</vt:lpstr>
      <vt:lpstr>Ratio Analysis</vt:lpstr>
      <vt:lpstr>DCF Valuation</vt:lpstr>
      <vt:lpstr>Revenue Waterfall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ashi ka</cp:lastModifiedBy>
  <cp:revision>0</cp:revision>
  <dcterms:created xsi:type="dcterms:W3CDTF">2026-04-03T01:43:38Z</dcterms:created>
  <dcterms:modified xsi:type="dcterms:W3CDTF">2026-04-03T14:54:22Z</dcterms:modified>
  <dc:language>en-US</dc:language>
</cp:coreProperties>
</file>